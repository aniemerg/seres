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able-UnAltered" sheetId="1" r:id="rId5"/>
    <sheet state="visible" name="MainTable-Consolidated" sheetId="2" r:id="rId6"/>
    <sheet state="visible" name="Hardware" sheetId="3" r:id="rId7"/>
    <sheet state="visible" name="FusionExportedBom" sheetId="4" r:id="rId8"/>
    <sheet state="visible" name="Table 602" sheetId="5" r:id="rId9"/>
    <sheet state="visible" name="Table 606" sheetId="6" r:id="rId10"/>
    <sheet state="visible" name="Table 610" sheetId="7" r:id="rId11"/>
    <sheet state="visible" name="Table 614" sheetId="8" r:id="rId12"/>
    <sheet state="visible" name="Table 617" sheetId="9" r:id="rId13"/>
  </sheets>
  <definedNames/>
  <calcPr/>
</workbook>
</file>

<file path=xl/sharedStrings.xml><?xml version="1.0" encoding="utf-8"?>
<sst xmlns="http://schemas.openxmlformats.org/spreadsheetml/2006/main" count="8547" uniqueCount="1912">
  <si>
    <t>5APC2100.BY01-000</t>
  </si>
  <si>
    <t>Menge</t>
  </si>
  <si>
    <t>Bezeichnung</t>
  </si>
  <si>
    <t>Typnummer</t>
  </si>
  <si>
    <t>Lieferant</t>
  </si>
  <si>
    <t>Artikelnummer</t>
  </si>
  <si>
    <t>+ST1-106XD230</t>
  </si>
  <si>
    <t>Accessories</t>
  </si>
  <si>
    <t>07.98.00</t>
  </si>
  <si>
    <t>FIN.07.98.00</t>
  </si>
  <si>
    <t>+ST1-XD0</t>
  </si>
  <si>
    <t>2-conductor through terminal block</t>
  </si>
  <si>
    <t>2002-1201</t>
  </si>
  <si>
    <t>WAGO</t>
  </si>
  <si>
    <t>WAGO.2002-1201</t>
  </si>
  <si>
    <t>+ST1-XD1</t>
  </si>
  <si>
    <t>+ST1-XD01</t>
  </si>
  <si>
    <t>+ST1-XD6</t>
  </si>
  <si>
    <t>2002-1204</t>
  </si>
  <si>
    <t>WAGO.2002-1204</t>
  </si>
  <si>
    <t>2-conductor ground terminal block</t>
  </si>
  <si>
    <t>2002-1207</t>
  </si>
  <si>
    <t>WAGO.2002-1207</t>
  </si>
  <si>
    <t>End and intermediate plate</t>
  </si>
  <si>
    <t>2002-1292</t>
  </si>
  <si>
    <t>WAGO.2002-1292</t>
  </si>
  <si>
    <t>+ST1-XPE</t>
  </si>
  <si>
    <t>+ST1-XDM24</t>
  </si>
  <si>
    <t>4-conductor through terminal block</t>
  </si>
  <si>
    <t>2002-1401</t>
  </si>
  <si>
    <t>WAGO.2002-1401</t>
  </si>
  <si>
    <t>+ST1-XDP24</t>
  </si>
  <si>
    <t>+ST1-XDN</t>
  </si>
  <si>
    <t>2002-1404</t>
  </si>
  <si>
    <t>WAGO.2002-1404</t>
  </si>
  <si>
    <t>4-conductor ground terminal block</t>
  </si>
  <si>
    <t>2002-1407</t>
  </si>
  <si>
    <t>WAGO.2002-1407</t>
  </si>
  <si>
    <t>2002-1492</t>
  </si>
  <si>
    <t>WAGO.2002-1492</t>
  </si>
  <si>
    <t>Double-deck terminal block</t>
  </si>
  <si>
    <t>2002-2231</t>
  </si>
  <si>
    <t>WAGO.2002-2231</t>
  </si>
  <si>
    <t>+ST1-XD10</t>
  </si>
  <si>
    <t>+ST1-XD11</t>
  </si>
  <si>
    <t>+ST1-XD12</t>
  </si>
  <si>
    <t>+ST1-XD20</t>
  </si>
  <si>
    <t>+ST1-XD30</t>
  </si>
  <si>
    <t>+ST2-XD11.1</t>
  </si>
  <si>
    <t>2002-2237</t>
  </si>
  <si>
    <t>WAGO.2002-2237</t>
  </si>
  <si>
    <t>+ST1-CD30</t>
  </si>
  <si>
    <t>2002-2292</t>
  </si>
  <si>
    <t>WAGO.2002-2292</t>
  </si>
  <si>
    <t>+SENS-XD11.1</t>
  </si>
  <si>
    <t>+ST2-XD10.1</t>
  </si>
  <si>
    <t>Triple-deck terminal block</t>
  </si>
  <si>
    <t>2002-3231</t>
  </si>
  <si>
    <t>WAGO.2002-3231</t>
  </si>
  <si>
    <t>+ST2-XD12.1</t>
  </si>
  <si>
    <t>+SENS-XD10.1</t>
  </si>
  <si>
    <t>End and partition plate for terminal block</t>
  </si>
  <si>
    <t>2002-3292</t>
  </si>
  <si>
    <t>WAGO.2002-3292</t>
  </si>
  <si>
    <t>+AKT-Cd12.1</t>
  </si>
  <si>
    <t>Push-in type jumper bar</t>
  </si>
  <si>
    <t>2002-402</t>
  </si>
  <si>
    <t>WAGO.2002-402</t>
  </si>
  <si>
    <t>Cross-connector for terminal block</t>
  </si>
  <si>
    <t>2002-403</t>
  </si>
  <si>
    <t>WAGO.2002-403</t>
  </si>
  <si>
    <t>2002-404</t>
  </si>
  <si>
    <t>WAGO.2002-404</t>
  </si>
  <si>
    <t>2002-407</t>
  </si>
  <si>
    <t>WAGO.2002-407</t>
  </si>
  <si>
    <t>2002-409</t>
  </si>
  <si>
    <t>WAGO.2002-409</t>
  </si>
  <si>
    <t>+ST1-XDM48</t>
  </si>
  <si>
    <t>2004-1201</t>
  </si>
  <si>
    <t>WAGO.2004-1201</t>
  </si>
  <si>
    <t>+ST1-XDS48</t>
  </si>
  <si>
    <t>2004-1292</t>
  </si>
  <si>
    <t>WAGO.2004-1292</t>
  </si>
  <si>
    <t>2004-403</t>
  </si>
  <si>
    <t>WAGO.2004-403</t>
  </si>
  <si>
    <t>+ST1-107XTR24</t>
  </si>
  <si>
    <t>Ground conductor disconnect terminal block</t>
  </si>
  <si>
    <t>2006-1671/1000-848</t>
  </si>
  <si>
    <t>WAGO.2006-1671/1000-848</t>
  </si>
  <si>
    <t>+ST1-110XTR48</t>
  </si>
  <si>
    <t>2006-1671/1000-849</t>
  </si>
  <si>
    <t>WAGO.2006-1671/1000-849</t>
  </si>
  <si>
    <t>+ST1-XDP48</t>
  </si>
  <si>
    <t>2-conductor fuse terminal block for mini-automotive blade-style fuses</t>
  </si>
  <si>
    <t>2006-1681</t>
  </si>
  <si>
    <t>WAGO.2006-1681</t>
  </si>
  <si>
    <t>2006-1692</t>
  </si>
  <si>
    <t>WAGO.2006-1692</t>
  </si>
  <si>
    <t>2006-403</t>
  </si>
  <si>
    <t>WAGO.2006-403</t>
  </si>
  <si>
    <t>Screwless end stop</t>
  </si>
  <si>
    <t>249-117</t>
  </si>
  <si>
    <t>WAGO.249-117</t>
  </si>
  <si>
    <t>+ST1-108FC24.1</t>
  </si>
  <si>
    <t>Group marker carrier</t>
  </si>
  <si>
    <t>249-119</t>
  </si>
  <si>
    <t>WAGO.249-119</t>
  </si>
  <si>
    <t>281-311</t>
  </si>
  <si>
    <t>WAGO.281-311</t>
  </si>
  <si>
    <t>Adjacent jumper</t>
  </si>
  <si>
    <t>281-402</t>
  </si>
  <si>
    <t>WAGO.281-402</t>
  </si>
  <si>
    <t>Fuse disconnect terminal block with pivoting fuse holder</t>
  </si>
  <si>
    <t>281-611/281-541</t>
  </si>
  <si>
    <t>WAGO.281-611/281-541</t>
  </si>
  <si>
    <t>+ST1-108FC24.2</t>
  </si>
  <si>
    <t>+ST1-108FC24.3</t>
  </si>
  <si>
    <t>+ST1-120QA1A</t>
  </si>
  <si>
    <t>AUX. SWITCH BLOCK , 4NO COND. PATHS: 1NO, 1NO,</t>
  </si>
  <si>
    <t>3RH2911-1FA40</t>
  </si>
  <si>
    <t>SIE</t>
  </si>
  <si>
    <t>SIE.3RH2911-1FA40</t>
  </si>
  <si>
    <t>+ST1-120QA1B</t>
  </si>
  <si>
    <t>+ST1-120QA2A</t>
  </si>
  <si>
    <t>+ST1-120QA2B</t>
  </si>
  <si>
    <t>+ST1-311QA1</t>
  </si>
  <si>
    <t>CONTACTOR,AC3:3KW 1NO DC24V</t>
  </si>
  <si>
    <t>3RT2015-1BB41</t>
  </si>
  <si>
    <t>SIE.3RT2015-1BB41</t>
  </si>
  <si>
    <t>CONTACTOR,AC3:3KW 1NC DC24V</t>
  </si>
  <si>
    <t>3RT2015-1BB42</t>
  </si>
  <si>
    <t>SIE.3RT2015-1BB42</t>
  </si>
  <si>
    <t>CONTACTOR,AC3:7,5KW 1NC DC24V</t>
  </si>
  <si>
    <t>3RT2018-1BB42</t>
  </si>
  <si>
    <t>SIE.3RT2018-1BB42</t>
  </si>
  <si>
    <t>SURGE SUPPRESSOR, VARISTOR,</t>
  </si>
  <si>
    <t>3RT2916-1BB00</t>
  </si>
  <si>
    <t>SIE.3RT2916-1BB00</t>
  </si>
  <si>
    <t>+ST1-311Q1</t>
  </si>
  <si>
    <t>CIRCUIT-BREAKER SCREW CONNECTION 3.2A</t>
  </si>
  <si>
    <t>3RV2011-1DA10</t>
  </si>
  <si>
    <t>SIE.3RV2011-1DA10</t>
  </si>
  <si>
    <t>+ST1-310Q1</t>
  </si>
  <si>
    <t>CIRCUIT-BREAKER SCREW CONNECTION 10A</t>
  </si>
  <si>
    <t>3RV2011-1JA10</t>
  </si>
  <si>
    <t>SIE.3RV2011-1JA10</t>
  </si>
  <si>
    <t>TRANSVERSE AUX. SWITCH, 1NO+1NC, SCREW CONNECTION,</t>
  </si>
  <si>
    <t>3RV2901-1E</t>
  </si>
  <si>
    <t>SIE.3RV2901-1E</t>
  </si>
  <si>
    <t>+ST1-310KF1</t>
  </si>
  <si>
    <t>Modular interface, screw terminal - 2 pole, 8 A - Sensitive DC - 24 V - AgNi</t>
  </si>
  <si>
    <t>48.52.7.024.0050</t>
  </si>
  <si>
    <t>FIN</t>
  </si>
  <si>
    <t>FIN.48.52.7.024.0050</t>
  </si>
  <si>
    <t>+ST1-310KF2</t>
  </si>
  <si>
    <t>+ST1-415K1</t>
  </si>
  <si>
    <t>Interfacerelay</t>
  </si>
  <si>
    <t>49.62.9.024.0050</t>
  </si>
  <si>
    <t>FIN.49.62.9.024.0050</t>
  </si>
  <si>
    <t>+ST1-111AF01</t>
  </si>
  <si>
    <t>APC2100 E3815 1C 1.46GHz 512kB 5W 1GB</t>
  </si>
  <si>
    <t>BuR</t>
  </si>
  <si>
    <t>BuR.5APC2100.BY01-000</t>
  </si>
  <si>
    <t>+ST1-310FC1</t>
  </si>
  <si>
    <t>SENTRON Auxiliary current switch Mountable</t>
  </si>
  <si>
    <t>5ST3010</t>
  </si>
  <si>
    <t>SIE.5ST3010</t>
  </si>
  <si>
    <t>+ST1-315FC1</t>
  </si>
  <si>
    <t>+ST1-107FC24</t>
  </si>
  <si>
    <t>CIRCUIT BREAKER 230/400V 10KA, 1-POLE, C, 4A, D=70MM</t>
  </si>
  <si>
    <t>5SY4104-7</t>
  </si>
  <si>
    <t>SIE.5SY4104-7</t>
  </si>
  <si>
    <t>+ST1-110FA48.1</t>
  </si>
  <si>
    <t>CIRCUIT BREAKER 230/400V 10KA, 1-POLE, C, 6A, D=70MM</t>
  </si>
  <si>
    <t>5SY4106-7</t>
  </si>
  <si>
    <t>SIE.5SY4106-7</t>
  </si>
  <si>
    <t>+ST1-110FA48.2</t>
  </si>
  <si>
    <t>+ST1-106FC1</t>
  </si>
  <si>
    <t>SENTRON Miniature circuit breaker</t>
  </si>
  <si>
    <t>5SY4110-6</t>
  </si>
  <si>
    <t>SIE.5SY4110-6</t>
  </si>
  <si>
    <t>CIRCUIT BREAKER 230/400V 10KA, 1-POLE, B, 16A, D=70MM</t>
  </si>
  <si>
    <t>5SY4116-6</t>
  </si>
  <si>
    <t>SIE.5SY4116-6</t>
  </si>
  <si>
    <t>+ST1-133PF1</t>
  </si>
  <si>
    <t>Signal tower complete</t>
  </si>
  <si>
    <t>649.000.02</t>
  </si>
  <si>
    <t>WER.649.000.02</t>
  </si>
  <si>
    <t>+ST1-315QA1</t>
  </si>
  <si>
    <t>Solid state relay (SSR)</t>
  </si>
  <si>
    <t>77.45.9.024.8250</t>
  </si>
  <si>
    <t>FIN.77.45.9.024.8250</t>
  </si>
  <si>
    <t>+ANL-302MA2</t>
  </si>
  <si>
    <t>2 Phasen Hybrid Schrittmotor, 6 A parallel, 3A seriell, 1,8 Nm Halte, 1,25 Nm Stillstand</t>
  </si>
  <si>
    <t>80MPD3.300S000-01</t>
  </si>
  <si>
    <t>BuR.80MPD3.300S000-01</t>
  </si>
  <si>
    <t>+ANL-304MA2</t>
  </si>
  <si>
    <t>+ANL-301MA1</t>
  </si>
  <si>
    <t>2 Phasen Hybrid Schrittmotor, 5 A parallel, Bremse 2 Nm, 3,5 Nm Halte, 2,5 Nm Stillstand</t>
  </si>
  <si>
    <t>80MPF5.500D114-01</t>
  </si>
  <si>
    <t>BuR.80MPF5.500D114-01</t>
  </si>
  <si>
    <t>+ANL-303MA1</t>
  </si>
  <si>
    <t>+ST1-301A1</t>
  </si>
  <si>
    <t>ACPu, 2x step. 10A, X2X, 2x ABR</t>
  </si>
  <si>
    <t>80SD100XD.C044-01</t>
  </si>
  <si>
    <t>BuR.80SD100XD.C044-01</t>
  </si>
  <si>
    <t>+ST1-303A1</t>
  </si>
  <si>
    <t>+SENS-401BG1.1</t>
  </si>
  <si>
    <t>Sensor inductiv</t>
  </si>
  <si>
    <t>BES 516-356-S4-C</t>
  </si>
  <si>
    <t>BAL.BES01H6</t>
  </si>
  <si>
    <t>+SENS-401BG1.2</t>
  </si>
  <si>
    <t>+ST1-110TB48.1</t>
  </si>
  <si>
    <t>Power Supply, 48V, 10A</t>
  </si>
  <si>
    <t>CP20.481</t>
  </si>
  <si>
    <t>PULS</t>
  </si>
  <si>
    <t>PULS.CP20.481</t>
  </si>
  <si>
    <t>+SENS-401BG2.1</t>
  </si>
  <si>
    <t>M9N/M9P/M9B, Solid State Switch, Direct Mounting</t>
  </si>
  <si>
    <t>D-M9NL</t>
  </si>
  <si>
    <t>SMC.D-M9NL</t>
  </si>
  <si>
    <t>+SENS-401BG2.2</t>
  </si>
  <si>
    <t>+SENS-401BG3.1</t>
  </si>
  <si>
    <t>+SENS-401BG3.2</t>
  </si>
  <si>
    <t>+ST2</t>
  </si>
  <si>
    <t>Small enclosures KX</t>
  </si>
  <si>
    <t>KX.1509000</t>
  </si>
  <si>
    <t>RIT.1509000</t>
  </si>
  <si>
    <t>Mounting plate</t>
  </si>
  <si>
    <t>KX.1569800</t>
  </si>
  <si>
    <t>RIT.1569800</t>
  </si>
  <si>
    <t>+ST1-106SF1</t>
  </si>
  <si>
    <t>Adapter for command devices</t>
  </si>
  <si>
    <t>M22-A</t>
  </si>
  <si>
    <t>ETN.216374</t>
  </si>
  <si>
    <t>+ST1-131FN01</t>
  </si>
  <si>
    <t>Contact element, 1 N/C, front mount, 6. contact, screw connection</t>
  </si>
  <si>
    <t>M22-K01</t>
  </si>
  <si>
    <t>ETN</t>
  </si>
  <si>
    <t>ETN.M22-K01</t>
  </si>
  <si>
    <t>Contact element, 1N/O, front mount, 6. contact, screw connection</t>
  </si>
  <si>
    <t>M22-K10</t>
  </si>
  <si>
    <t>ETN.M22-K10</t>
  </si>
  <si>
    <t>Emergency-stop key-release mushroom, 1 N/C, front mount</t>
  </si>
  <si>
    <t>M22-PV/K01</t>
  </si>
  <si>
    <t>ETN.M22-PV/K01</t>
  </si>
  <si>
    <t>+ST1-131FN1</t>
  </si>
  <si>
    <t>Emergency-stop key-release mushroom, 2 N/C, surface mounting</t>
  </si>
  <si>
    <t>M22-PV/KC02/IY</t>
  </si>
  <si>
    <t>ETN.M22-PV/KC02/IY</t>
  </si>
  <si>
    <t>+ST1-131FN2</t>
  </si>
  <si>
    <t>Illuminated selector switch actuator, 2 positions, white, maintained</t>
  </si>
  <si>
    <t>M22-WRLK-W</t>
  </si>
  <si>
    <t>ETN.M22-WRLK-W</t>
  </si>
  <si>
    <t>Identification plate for command devices</t>
  </si>
  <si>
    <t>M22-XBK11</t>
  </si>
  <si>
    <t>ETN.121372</t>
  </si>
  <si>
    <t>Label mount, without label, black</t>
  </si>
  <si>
    <t>M22S-ST-X</t>
  </si>
  <si>
    <t>ETN.M22S-ST-X</t>
  </si>
  <si>
    <t>+ST1-105QB1</t>
  </si>
  <si>
    <t>Main switch, 3 pole, 25 A, STOP function, Lockable in the 0 (Off) position, flush mounting</t>
  </si>
  <si>
    <t>P1-25/EA/SVB-SW</t>
  </si>
  <si>
    <t>ETN.P1-25/EA/SVB-SW</t>
  </si>
  <si>
    <t>+ST1-602KF2</t>
  </si>
  <si>
    <t>Solid-state relay module</t>
  </si>
  <si>
    <t>PLC-OPT- 24DC/ 24DC/2</t>
  </si>
  <si>
    <t>PXC</t>
  </si>
  <si>
    <t>PXC.2900364</t>
  </si>
  <si>
    <t>+ST1-602KF1</t>
  </si>
  <si>
    <t>PLC-OPT- 5DC/ 24DC/2/ACT</t>
  </si>
  <si>
    <t>PXC.2900375</t>
  </si>
  <si>
    <t>+ST1-132FN2</t>
  </si>
  <si>
    <t>Safety-related transponder switch</t>
  </si>
  <si>
    <t>PSEN cs3.1a 1 switch</t>
  </si>
  <si>
    <t>PILZ.541061</t>
  </si>
  <si>
    <t>+ST1-132FN1</t>
  </si>
  <si>
    <t>Safety interlocking switch</t>
  </si>
  <si>
    <t>PSENme 1S/1AS</t>
  </si>
  <si>
    <t>PILZ.570000</t>
  </si>
  <si>
    <t>+ST1-107TB24</t>
  </si>
  <si>
    <t>Power Supply, 1AC, Output 24V 10A</t>
  </si>
  <si>
    <t>QS10.241</t>
  </si>
  <si>
    <t>PULS.QS10.241</t>
  </si>
  <si>
    <t>SKINTOP DIX-M 25450</t>
  </si>
  <si>
    <t>SKINTOP® DIX-M</t>
  </si>
  <si>
    <t>LAPP.53325450</t>
  </si>
  <si>
    <t>SKINTOP GMP-GL-M 20x1,5 RAL 7001 SGY</t>
  </si>
  <si>
    <t>SKINTOP® GMP-GL-M</t>
  </si>
  <si>
    <t>LAPP.53119020</t>
  </si>
  <si>
    <t>SKINTOP GMP-GL-M 25x1,5 RAL 7001 SGY</t>
  </si>
  <si>
    <t>LAPP.53119030</t>
  </si>
  <si>
    <t>SKINTOP ST-M 20x1,5 RAL 7001 SGY</t>
  </si>
  <si>
    <t>SKINTOP® ST-M</t>
  </si>
  <si>
    <t>LAPP.53111020</t>
  </si>
  <si>
    <t>SKINTOP ST-M 25x1,5 RAL 7001 SGY</t>
  </si>
  <si>
    <t>LAPP.53111030</t>
  </si>
  <si>
    <t>+ST1-112KF14</t>
  </si>
  <si>
    <t>X20 Analog 4xI, +/-10V/0..20 mA, 12 Bit</t>
  </si>
  <si>
    <t>X20AI4622</t>
  </si>
  <si>
    <t>BuR.X20AI4622</t>
  </si>
  <si>
    <t>+ST1-112KF12</t>
  </si>
  <si>
    <t>X20 Analog 4xO, +/-10V/0..20 mA, 12 Bit</t>
  </si>
  <si>
    <t>X20AO4622</t>
  </si>
  <si>
    <t>BuR.X20AO4622</t>
  </si>
  <si>
    <t>+ST1-112KF13</t>
  </si>
  <si>
    <t>+ST1-112KF15</t>
  </si>
  <si>
    <t>+ST1-112KF11</t>
  </si>
  <si>
    <t>X20 Analog 6xI, THERMOCOUPLE</t>
  </si>
  <si>
    <t>X20AT6402</t>
  </si>
  <si>
    <t>BuR.X20AT6402</t>
  </si>
  <si>
    <t>+ST1-112KF01</t>
  </si>
  <si>
    <t>X20 Bus Controller Base</t>
  </si>
  <si>
    <t>X20BB80</t>
  </si>
  <si>
    <t>BuR.X20BB80</t>
  </si>
  <si>
    <t>X20 Bus Controller POWERLINK</t>
  </si>
  <si>
    <t>X20BC0083</t>
  </si>
  <si>
    <t>BuR.X20BC0083</t>
  </si>
  <si>
    <t>+ST1-112KF03</t>
  </si>
  <si>
    <t>X20 Bus Module with Power Bus connection</t>
  </si>
  <si>
    <t>X20BM11</t>
  </si>
  <si>
    <t>BuR.X20BM11</t>
  </si>
  <si>
    <t>+ST1-113KF16</t>
  </si>
  <si>
    <t>+ST1-113KF17</t>
  </si>
  <si>
    <t>+ST1-113KF18</t>
  </si>
  <si>
    <t>+ST1-113KF19</t>
  </si>
  <si>
    <t>+ST1-113KF20</t>
  </si>
  <si>
    <t>+ST1-113KF21</t>
  </si>
  <si>
    <t>+ST1-113KF22</t>
  </si>
  <si>
    <t>+ST1-113KF23</t>
  </si>
  <si>
    <t>+ST1-114KF24</t>
  </si>
  <si>
    <t>+ST1-114KF25</t>
  </si>
  <si>
    <t>+ST1-114KF26</t>
  </si>
  <si>
    <t>+ST1-114KF27</t>
  </si>
  <si>
    <t>+ST1-114KF28</t>
  </si>
  <si>
    <t>+ST1-114KF29</t>
  </si>
  <si>
    <t>+ST1-114KF30</t>
  </si>
  <si>
    <t>+ST1-114KF31</t>
  </si>
  <si>
    <t>+ST1-116KF61</t>
  </si>
  <si>
    <t>+ST1-115KF51</t>
  </si>
  <si>
    <t>X20 Bus safety 12.5mm, Power Bus connec.</t>
  </si>
  <si>
    <t>X20BM13</t>
  </si>
  <si>
    <t>BuR.X20BM13</t>
  </si>
  <si>
    <t>+ST1-115KF52</t>
  </si>
  <si>
    <t>X20 Bus safety 25mm, Node Nr.,connection</t>
  </si>
  <si>
    <t>X20BM36</t>
  </si>
  <si>
    <t>BuR.X20BM36</t>
  </si>
  <si>
    <t>+ST1-115KF53a</t>
  </si>
  <si>
    <t>+ST1-115KF53b</t>
  </si>
  <si>
    <t>X20 Bustransmitter</t>
  </si>
  <si>
    <t>X20BT9100</t>
  </si>
  <si>
    <t>BuR.X20BT9100</t>
  </si>
  <si>
    <t>X20 Encoder, 1x ABR, TTL, 250 kHz, Mon.</t>
  </si>
  <si>
    <t>X20DC1976</t>
  </si>
  <si>
    <t>BuR.X20DC1976</t>
  </si>
  <si>
    <t>X20 Digital 6xI, 24V, Sink, 2 Wire</t>
  </si>
  <si>
    <t>X20DI6371</t>
  </si>
  <si>
    <t>BuR.X20DI6371</t>
  </si>
  <si>
    <t>X20 Digital 6xO, 24V 0.5A, Source, 2 W.</t>
  </si>
  <si>
    <t>X20DO6322</t>
  </si>
  <si>
    <t>BuR.X20DO6322</t>
  </si>
  <si>
    <t>+ST1-111AF02</t>
  </si>
  <si>
    <t>X20 SafeKEY 2 MB</t>
  </si>
  <si>
    <t>X20MK0211</t>
  </si>
  <si>
    <t>BuR.X20MK0211</t>
  </si>
  <si>
    <t>+ST1-112KF02</t>
  </si>
  <si>
    <t>X20 BC Power Feed, 24V, Bus Supply</t>
  </si>
  <si>
    <t>X20PS9400</t>
  </si>
  <si>
    <t>BuR.X20PS9400</t>
  </si>
  <si>
    <t>X20 Safe Digital 8xI, 4xO 3A, 2xO 50mA</t>
  </si>
  <si>
    <t>X20SC0842</t>
  </si>
  <si>
    <t>BuR.X20SC0842</t>
  </si>
  <si>
    <t>X20 Safe Digital 8xI, 24V, 4xI CAT4</t>
  </si>
  <si>
    <t>X20SI8110</t>
  </si>
  <si>
    <t>BuR.X20SI8110</t>
  </si>
  <si>
    <t>X20 SafeLOGIC, POWERLINK, X2X Link, univ</t>
  </si>
  <si>
    <t>X20SL8101</t>
  </si>
  <si>
    <t>BuR.X20SL8101</t>
  </si>
  <si>
    <t>X20 Safe Digital 6xO, 24V, 0.1A</t>
  </si>
  <si>
    <t>X20SO6300</t>
  </si>
  <si>
    <t>BuR.X20SO6300</t>
  </si>
  <si>
    <t>X20 standard terminal block 12x</t>
  </si>
  <si>
    <t>X20TB12</t>
  </si>
  <si>
    <t>BuR.X20TB12</t>
  </si>
  <si>
    <t>X20 terminal block safety, 12x</t>
  </si>
  <si>
    <t>X20TB52</t>
  </si>
  <si>
    <t>BuR.X20TB52</t>
  </si>
  <si>
    <t>+ST1-425A1</t>
  </si>
  <si>
    <t>+ST1-415AA2</t>
  </si>
  <si>
    <t>+ST1-132PF1</t>
  </si>
  <si>
    <t>+ST1-131SF02</t>
  </si>
  <si>
    <t>+ST1-132SF1</t>
  </si>
  <si>
    <t>+ST1-110TB48.2</t>
  </si>
  <si>
    <t>+ST1-XD40</t>
  </si>
  <si>
    <t>+ST2-411TF1</t>
  </si>
  <si>
    <t>+ANL-310A1</t>
  </si>
  <si>
    <t>+ANL-315E1</t>
  </si>
  <si>
    <t>+ANL-310MA1</t>
  </si>
  <si>
    <t>+ANL-310MA2</t>
  </si>
  <si>
    <t>+ANL-311MA1</t>
  </si>
  <si>
    <t>+ANL-301aAA1</t>
  </si>
  <si>
    <t>K+C Glasmaßstab Typ-S5</t>
  </si>
  <si>
    <t>+SENS-415BO1</t>
  </si>
  <si>
    <t>+SENS-410BT1</t>
  </si>
  <si>
    <t>+SENS-410BT2</t>
  </si>
  <si>
    <t>+SENS-410BT3</t>
  </si>
  <si>
    <t>+SENS-410BT4</t>
  </si>
  <si>
    <t>+SENS-410BT5</t>
  </si>
  <si>
    <t>+SENS-410BT6</t>
  </si>
  <si>
    <t>+SENS-411BT1</t>
  </si>
  <si>
    <t>+SENS-501Y1</t>
  </si>
  <si>
    <t>+SENS-501Y2</t>
  </si>
  <si>
    <t>+SENS-501Y4</t>
  </si>
  <si>
    <t>+SENS-501Y5</t>
  </si>
  <si>
    <t>+AKT-501Y1</t>
  </si>
  <si>
    <t>+AKT-501Y2</t>
  </si>
  <si>
    <t>+AKT-501Y3</t>
  </si>
  <si>
    <t>+AKT-501Y4</t>
  </si>
  <si>
    <t>+AKT-501Y5</t>
  </si>
  <si>
    <t>+LAS-601A1</t>
  </si>
  <si>
    <t>+LAS-601A1-A1-X12</t>
  </si>
  <si>
    <t>+LAS-602A1</t>
  </si>
  <si>
    <t>+LAS-602A2</t>
  </si>
  <si>
    <t>+SCH1-X100</t>
  </si>
  <si>
    <t>Equipment identifier</t>
  </si>
  <si>
    <t>Quantiy</t>
  </si>
  <si>
    <t>Designation</t>
  </si>
  <si>
    <t>Type number</t>
  </si>
  <si>
    <t>Supplier</t>
  </si>
  <si>
    <t>Item number</t>
  </si>
  <si>
    <t>Category</t>
  </si>
  <si>
    <t>Price@1</t>
  </si>
  <si>
    <t>Price@1k</t>
  </si>
  <si>
    <t>Orderable</t>
  </si>
  <si>
    <t>US</t>
  </si>
  <si>
    <t>Link</t>
  </si>
  <si>
    <t>Cost</t>
  </si>
  <si>
    <t>Cost@1k</t>
  </si>
  <si>
    <t>Note</t>
  </si>
  <si>
    <t>Cost Down Likely</t>
  </si>
  <si>
    <t>Terminal</t>
  </si>
  <si>
    <t>Y</t>
  </si>
  <si>
    <t>https://www.digikey.com/en/products/detail/wago-corporation/2002-1201/13549237</t>
  </si>
  <si>
    <t>https://www.digikey.com/en/products/detail/wago-corporation/2002-1204/13549353?s=N4IgTCBcDa4AxzAWgIxjgFhAXQL5A</t>
  </si>
  <si>
    <t>https://www.digikey.com/en/products/detail/wago-corporation/2002-1207/13549360?s=N4IgTCBcDa4AxzAWgIxjgdhAXQL5A</t>
  </si>
  <si>
    <t>https://www.digikey.com/en/products/detail/wago-corporation/2002-1292/13549501?s=N4IgTCBcDa4AxzAWgIxgJwQLoF8g</t>
  </si>
  <si>
    <t>https://www.digikey.com/en/products/detail/wago-corporation/2002-1401/13549450</t>
  </si>
  <si>
    <t>https://www.digikey.com/en/products/detail/wago-corporation/2002-1404/13549441?s=N4IgTCBcDa4AxzAWgIwBY5pAXQL5A</t>
  </si>
  <si>
    <t>https://www.digikey.com/en/products/detail/wago-corporation/2002-1492/13549469?s=N4IgTCBcDa4AxzAWgIwBYCcEC6BfIA</t>
  </si>
  <si>
    <t>https://www.digikey.com/en/products/detail/wago-corporation/2002-2231/13549241</t>
  </si>
  <si>
    <t>https://www.digikey.com/en/products/detail/wago-corporation/2002-2237/15556041</t>
  </si>
  <si>
    <r>
      <rPr>
        <rFont val="Calibri"/>
        <color rgb="FF1155CC"/>
        <sz val="8.0"/>
        <u/>
      </rPr>
      <t>https://www.wago.com/global/products/datasheets/Datasheet.pdf?product=2002-2237&amp;lang=en</t>
    </r>
  </si>
  <si>
    <r>
      <rPr>
        <rFont val="Calibri"/>
        <color rgb="FF1155CC"/>
        <sz val="8.0"/>
        <u/>
      </rPr>
      <t>https://www.wago.com/global/products/datasheets/Datasheet.pdf?product=2002-2237&amp;lang=en</t>
    </r>
  </si>
  <si>
    <r>
      <rPr>
        <rFont val="Calibri"/>
        <color rgb="FF1155CC"/>
        <sz val="8.0"/>
        <u/>
      </rPr>
      <t>https://www.wago.com/global/products/datasheets/Datasheet.pdf?product=2002-2237&amp;lang=en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</si>
  <si>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</si>
  <si>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</si>
  <si>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</si>
  <si>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</si>
  <si>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</si>
  <si>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</si>
  <si>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https://wago.priintcloud.com/datasheets/2002-2292/en_US/5ac24b7886a8e55fac6ce5bf20b42270?attempt=1&amp;signature=32d0f7cb483bc8cfed59779b4181a3a2_1g8ejt97j</t>
    </r>
  </si>
  <si>
    <r>
      <rPr>
        <rFont val="Calibri"/>
        <color rgb="FF1155CC"/>
        <sz val="8.0"/>
        <u/>
      </rPr>
      <t>https://source.z2data.com/2018/11/28/10/47/11/323/1134134703/2511474080File_331.pdf</t>
    </r>
  </si>
  <si>
    <r>
      <rPr>
        <rFont val="Calibri"/>
        <color rgb="FF1155CC"/>
        <sz val="8.0"/>
        <u/>
      </rPr>
      <t>https://source.z2data.com/2018/11/28/10/47/11/323/1134134703/2511474080File_331.pdf</t>
    </r>
  </si>
  <si>
    <r>
      <rPr>
        <rFont val="Calibri"/>
        <color rgb="FF1155CC"/>
        <sz val="8.0"/>
        <u/>
      </rPr>
      <t>https://wago.priintcloud.com/datasheets/2002-3292/en_US/5ac24b7886a8e55fac6ce5bf20b42270?attempt=1&amp;signature=5aa73056915faf59f6f54923ff786f06_1g8eluf8r</t>
    </r>
  </si>
  <si>
    <r>
      <rPr>
        <rFont val="Calibri"/>
        <color rgb="FF1155CC"/>
        <sz val="8.0"/>
        <u/>
      </rPr>
      <t>https://wago.priintcloud.com/datasheets/2002-3292/en_US/5ac24b7886a8e55fac6ce5bf20b42270?attempt=1&amp;signature=5aa73056915faf59f6f54923ff786f06_1g8eluf8r</t>
    </r>
  </si>
  <si>
    <r>
      <rPr>
        <rFont val="Calibri"/>
        <color rgb="FF1155CC"/>
        <sz val="8.0"/>
        <u/>
      </rPr>
      <t>https://wago.priintcloud.com/datasheets/2002-402/en_US/74de699bae9eac0a95e0f9d629dc6767?attempt=1&amp;signature=2ea8a4a923b7baf47f102150daa222b4_1hssubj3b</t>
    </r>
  </si>
  <si>
    <r>
      <rPr>
        <rFont val="Calibri"/>
        <color rgb="FF1155CC"/>
        <sz val="8.0"/>
        <u/>
      </rPr>
      <t>https://wago.priintcloud.com/datasheets/2002-403/en_US/1127adb6ff88709bbaccba59115d214f?attempt=1&amp;signature=1c2897e7731bec43c00f25a700de8472_1g8em1fjh</t>
    </r>
  </si>
  <si>
    <r>
      <rPr>
        <rFont val="Calibri"/>
        <color rgb="FF1155CC"/>
        <sz val="8.0"/>
        <u/>
      </rPr>
      <t>https://wago.priintcloud.com/datasheets/2002-403/en_US/1127adb6ff88709bbaccba59115d214f?attempt=1&amp;signature=1c2897e7731bec43c00f25a700de8472_1g8em1fjh</t>
    </r>
  </si>
  <si>
    <r>
      <rPr>
        <rFont val="Calibri"/>
        <color rgb="FF1155CC"/>
        <sz val="8.0"/>
        <u/>
      </rPr>
      <t>https://wago.priintcloud.com/datasheets/2002-404/en_GG/</t>
    </r>
  </si>
  <si>
    <r>
      <rPr>
        <rFont val="Calibri"/>
        <color rgb="FF1155CC"/>
        <sz val="8.0"/>
        <u/>
      </rPr>
      <t>https://wago.priintcloud.com/datasheets/2002-407/en_GG/</t>
    </r>
  </si>
  <si>
    <r>
      <rPr>
        <rFont val="Calibri"/>
        <color rgb="FF1155CC"/>
        <sz val="8.0"/>
        <u/>
      </rPr>
      <t>https://wago.priintcloud.com/datasheets/2002-409/en_GG/</t>
    </r>
  </si>
  <si>
    <r>
      <rPr>
        <rFont val="Calibri"/>
        <color rgb="FF1155CC"/>
        <sz val="8.0"/>
        <u/>
      </rPr>
      <t>https://wago.priintcloud.com/datasheets/2002-409/en_GG/</t>
    </r>
  </si>
  <si>
    <r>
      <rPr>
        <rFont val="Calibri"/>
        <color rgb="FF1155CC"/>
        <sz val="8.0"/>
        <u/>
      </rPr>
      <t>https://wago.priintcloud.com/datasheets/2004-1201/en_US/99f69479602aa96328668789b7b54bfe?attempt=1&amp;signature=ed73fd62a2cb39b9cd2b9048ff098723_1hdrh52sr</t>
    </r>
  </si>
  <si>
    <r>
      <rPr>
        <rFont val="Calibri"/>
        <color rgb="FF1155CC"/>
        <sz val="8.0"/>
        <u/>
      </rPr>
      <t>https://wago.priintcloud.com/datasheets/2004-1201/en_US/99f69479602aa96328668789b7b54bfe?attempt=1&amp;signature=ed73fd62a2cb39b9cd2b9048ff098723_1hdrh52sr</t>
    </r>
  </si>
  <si>
    <r>
      <rPr>
        <rFont val="Calibri"/>
        <color rgb="FF1155CC"/>
        <sz val="8.0"/>
        <u/>
      </rPr>
      <t>https://source.z2data.com/2018/11/28/10/50/59/199/1983032409/25122331926File_502.pdf</t>
    </r>
  </si>
  <si>
    <r>
      <rPr>
        <rFont val="Calibri"/>
        <color rgb="FF1155CC"/>
        <sz val="8.0"/>
        <u/>
      </rPr>
      <t>https://wago.priintcloud.com/datasheets/2004-403/en_GG</t>
    </r>
  </si>
  <si>
    <r>
      <rPr>
        <rFont val="Calibri"/>
        <color rgb="FF1155CC"/>
        <sz val="8.0"/>
        <u/>
      </rPr>
      <t>https://www.wago.com/global/products/datasheets/Datasheet.pdf?product=2006-1671/1000-848&amp;lang=en</t>
    </r>
  </si>
  <si>
    <r>
      <rPr>
        <rFont val="Calibri"/>
        <color rgb="FF1155CC"/>
        <sz val="8.0"/>
        <u/>
      </rPr>
      <t>https://www.wago.com/global/products/datasheets/Datasheet.pdf?product=2006-1671/1000-849&amp;lang=en</t>
    </r>
  </si>
  <si>
    <r>
      <rPr>
        <rFont val="Calibri"/>
        <color rgb="FF1155CC"/>
        <sz val="8.0"/>
        <u/>
      </rPr>
      <t>https://mm.digikey.com/Volume0/opasdata/d220001/medias/docus/5731/2006-1681.pdf</t>
    </r>
  </si>
  <si>
    <r>
      <rPr>
        <rFont val="Calibri"/>
        <color rgb="FF1155CC"/>
        <sz val="8.0"/>
        <u/>
      </rPr>
      <t>https://mm.digikey.com/Volume0/opasdata/d220001/medias/docus/5731/2006-1681.pdf</t>
    </r>
  </si>
  <si>
    <r>
      <rPr>
        <rFont val="Calibri"/>
        <color rgb="FF1155CC"/>
        <sz val="8.0"/>
        <u/>
      </rPr>
      <t>https://mm.digikey.com/Volume0/opasdata/d220001/medias/docus/6165/2512503474File_636.pdf</t>
    </r>
  </si>
  <si>
    <r>
      <rPr>
        <rFont val="Calibri"/>
        <color rgb="FF1155CC"/>
        <sz val="8.0"/>
        <u/>
      </rPr>
      <t>https://mm.digikey.com/Volume0/opasdata/d220001/medias/docus/6165/2512503474File_636.pdf</t>
    </r>
  </si>
  <si>
    <r>
      <rPr>
        <rFont val="Calibri"/>
        <color rgb="FF1155CC"/>
        <sz val="8.0"/>
        <u/>
      </rPr>
      <t>https://mm.digikey.com/Volume0/opasdata/d220001/medias/docus/6165/2512503474File_636.pdf</t>
    </r>
  </si>
  <si>
    <r>
      <rPr>
        <rFont val="Calibri"/>
        <color rgb="FF1155CC"/>
        <sz val="8.0"/>
        <u/>
      </rPr>
      <t>https://mm.digikey.com/Volume0/opasdata/d220001/medias/docus/6165/2512503474File_636.pdf</t>
    </r>
  </si>
  <si>
    <r>
      <rPr>
        <rFont val="Calibri"/>
        <color rgb="FF1155CC"/>
        <sz val="8.0"/>
        <u/>
      </rPr>
      <t>https://wago.priintcloud.com/datasheets/2006-403/en_GG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</si>
  <si>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</si>
  <si>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</si>
  <si>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</si>
  <si>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</si>
  <si>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</si>
  <si>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</si>
  <si>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</si>
  <si>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</si>
  <si>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</si>
  <si>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</si>
  <si>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</si>
  <si>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</si>
  <si>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</si>
  <si>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</si>
  <si>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</si>
  <si>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</si>
  <si>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</si>
  <si>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</si>
  <si>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</si>
  <si>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</si>
  <si>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https://mm.digikey.com/Volume0/opasdata/d220001/medias/docus/3589/249-117.pdf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</si>
  <si>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</si>
  <si>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</si>
  <si>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</si>
  <si>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</si>
  <si>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</si>
  <si>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</si>
  <si>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</si>
  <si>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</si>
  <si>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</si>
  <si>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</si>
  <si>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</si>
  <si>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</si>
  <si>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</si>
  <si>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</si>
  <si>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</si>
  <si>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</si>
  <si>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</si>
  <si>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https://wago.priintcloud.com/datasheets/249-119/en_US/d777443770ce70b151042b3b4a6b81ad?attempt=1&amp;signature=4fcf36d147264e969498504e30f8779a_1g8h59ihg</t>
    </r>
  </si>
  <si>
    <r>
      <rPr>
        <rFont val="Calibri"/>
        <color rgb="FF1155CC"/>
        <sz val="8.0"/>
        <u/>
      </rPr>
      <t>https://source.z2data.com/2018/11/29/0/41/50/297/1187215849/2619644211File_9591.pdf</t>
    </r>
  </si>
  <si>
    <r>
      <rPr>
        <rFont val="Calibri"/>
        <color rgb="FF1155CC"/>
        <sz val="8.0"/>
        <u/>
      </rPr>
      <t>https://mm.digikey.com/Volume0/opasdata/d220001/medias/docus/6165/26191340966File_9632.pdf</t>
    </r>
  </si>
  <si>
    <r>
      <rPr>
        <rFont val="Calibri"/>
        <color rgb="FF1155CC"/>
        <sz val="8.0"/>
        <u/>
      </rPr>
      <t>https://mm.digikey.com/Volume0/opasdata/d220001/medias/docus/5731/281-611_281-541.pdf</t>
    </r>
  </si>
  <si>
    <r>
      <rPr>
        <rFont val="Calibri"/>
        <color rgb="FF1155CC"/>
        <sz val="8.0"/>
        <u/>
      </rPr>
      <t>https://mm.digikey.com/Volume0/opasdata/d220001/medias/docus/5731/281-611_281-541.pdf</t>
    </r>
  </si>
  <si>
    <r>
      <rPr>
        <rFont val="Calibri"/>
        <color rgb="FF1155CC"/>
        <sz val="8.0"/>
        <u/>
      </rPr>
      <t>https://mm.digikey.com/Volume0/opasdata/d220001/medias/docus/5731/281-611_281-541.pdf</t>
    </r>
  </si>
  <si>
    <r>
      <rPr>
        <rFont val="Calibri"/>
        <color rgb="FF1155CC"/>
        <sz val="8.0"/>
        <u/>
      </rPr>
      <t>https://media.distributordatasolutions.com/siemenscomplete/2023q3/documents/de78a7de69a88d0ae40d5160e486ece11f0dbf47.pdf</t>
    </r>
  </si>
  <si>
    <r>
      <rPr>
        <rFont val="Calibri"/>
        <color rgb="FF1155CC"/>
        <sz val="8.0"/>
        <u/>
      </rPr>
      <t>https://media.distributordatasolutions.com/siemenscomplete/2023q3/documents/de78a7de69a88d0ae40d5160e486ece11f0dbf47.pdf</t>
    </r>
  </si>
  <si>
    <r>
      <rPr>
        <rFont val="Calibri"/>
        <color rgb="FF1155CC"/>
        <sz val="8.0"/>
        <u/>
      </rPr>
      <t>https://media.distributordatasolutions.com/siemenscomplete/2023q3/documents/de78a7de69a88d0ae40d5160e486ece11f0dbf47.pdf</t>
    </r>
  </si>
  <si>
    <r>
      <rPr>
        <rFont val="Calibri"/>
        <color rgb="FF1155CC"/>
        <sz val="8.0"/>
        <u/>
      </rPr>
      <t>https://media.distributordatasolutions.com/siemenscomplete/2023q3/documents/de78a7de69a88d0ae40d5160e486ece11f0dbf47.pdf</t>
    </r>
  </si>
  <si>
    <r>
      <rPr>
        <rFont val="Calibri"/>
        <color rgb="FF1155CC"/>
        <sz val="8.0"/>
        <u/>
      </rPr>
      <t>https://media.distributordatasolutions.com/siemenscomplete/2023q3/documents/da7368dea39ea0ab78f06c2cae7d8a6f29a93441.pdf</t>
    </r>
  </si>
  <si>
    <r>
      <rPr>
        <rFont val="Calibri"/>
        <color rgb="FF1155CC"/>
        <sz val="8.0"/>
        <u/>
      </rPr>
      <t>https://media.distributordatasolutions.com/siemenscomplete/2023q3/documents/798f4d0ca3ce17d51718d503a1d480e35cb3ec09.pdf</t>
    </r>
  </si>
  <si>
    <r>
      <rPr>
        <rFont val="Calibri"/>
        <color rgb="FF1155CC"/>
        <sz val="8.0"/>
        <u/>
      </rPr>
      <t>https://media.distributordatasolutions.com/siemenscomplete/2023q3/documents/798f4d0ca3ce17d51718d503a1d480e35cb3ec09.pdf</t>
    </r>
  </si>
  <si>
    <r>
      <rPr>
        <rFont val="Calibri"/>
        <color rgb="FF1155CC"/>
        <sz val="8.0"/>
        <u/>
      </rPr>
      <t>https://media.distributordatasolutions.com/siemenscomplete/2023q3/documents/a2609c0731fa761370c0e398f8ccf63f170c4624.pdf</t>
    </r>
  </si>
  <si>
    <r>
      <rPr>
        <rFont val="Calibri"/>
        <color rgb="FF1155CC"/>
        <sz val="8.0"/>
        <u/>
      </rPr>
      <t>https://media.distributordatasolutions.com/siemenscomplete/2023q3/documents/a2609c0731fa761370c0e398f8ccf63f170c4624.pdf</t>
    </r>
  </si>
  <si>
    <r>
      <rPr>
        <rFont val="Calibri"/>
        <color rgb="FF1155CC"/>
        <sz val="8.0"/>
        <u/>
      </rPr>
      <t>https://media.distributordatasolutions.com/siemenscomplete/2023q3/documents/ec11bb99e26cbb28af41942db2f42b35816f0138.pdf</t>
    </r>
  </si>
  <si>
    <r>
      <rPr>
        <rFont val="Calibri"/>
        <color rgb="FF1155CC"/>
        <sz val="8.0"/>
        <u/>
      </rPr>
      <t>https://media.distributordatasolutions.com/siemenscomplete/2023q3/documents/ec11bb99e26cbb28af41942db2f42b35816f0138.pdf</t>
    </r>
  </si>
  <si>
    <r>
      <rPr>
        <rFont val="Calibri"/>
        <color rgb="FF1155CC"/>
        <sz val="8.0"/>
        <u/>
      </rPr>
      <t>https://media.distributordatasolutions.com/siemenscomplete/2023q3/documents/ec11bb99e26cbb28af41942db2f42b35816f0138.pdf</t>
    </r>
  </si>
  <si>
    <r>
      <rPr>
        <rFont val="Calibri"/>
        <color rgb="FF1155CC"/>
        <sz val="8.0"/>
        <u/>
      </rPr>
      <t>https://media.distributordatasolutions.com/siemenscomplete/2023q3/documents/ec11bb99e26cbb28af41942db2f42b35816f0138.pdf</t>
    </r>
  </si>
  <si>
    <r>
      <rPr>
        <rFont val="Calibri"/>
        <color rgb="FF1155CC"/>
        <sz val="8.0"/>
        <u/>
      </rPr>
      <t>https://media.distributordatasolutions.com/siemenscomplete/2023q3/documents/ec11bb99e26cbb28af41942db2f42b35816f0138.pdf</t>
    </r>
  </si>
  <si>
    <r>
      <rPr>
        <rFont val="Calibri"/>
        <color rgb="FF1155CC"/>
        <sz val="8.0"/>
        <u/>
      </rPr>
      <t>https://media.distributordatasolutions.com/siemenscomplete/2023q3/documents/9f17558219a4645f6f799116ee48a19fded66100.pdf</t>
    </r>
  </si>
  <si>
    <r>
      <rPr>
        <rFont val="Calibri"/>
        <color rgb="FF1155CC"/>
        <sz val="8.0"/>
        <u/>
      </rPr>
      <t>https://media.distributordatasolutions.com/siemenscomplete/2023q3/documents/9105aaa3cc7c118f4ae38a223c9b640aec12dbaf.pdf</t>
    </r>
  </si>
  <si>
    <r>
      <rPr>
        <rFont val="Calibri"/>
        <color rgb="FF1155CC"/>
        <sz val="8.0"/>
        <u/>
      </rPr>
      <t>https://media.distributordatasolutions.com/siemenscomplete/2023q3/documents/6f6a29d590448be0c36b249dc32e020c024c1633.pdf</t>
    </r>
  </si>
  <si>
    <t>N</t>
  </si>
  <si>
    <t>https://www.conrad.com/en/p/finder-49-62-9-024-0050-relay-component-nominal-voltage-24-v-dc-2-change-overs-1-pc-s-2196626.html?srsltid=AfmBOopUJ4_Nzp3dUvDZDlqLaFeB-u_muvunWromwGyTY-LEP3Hnuf_e</t>
  </si>
  <si>
    <t>Ebay price estimate</t>
  </si>
  <si>
    <t>Amazon estimate</t>
  </si>
  <si>
    <r>
      <rPr>
        <rFont val="Calibri"/>
        <color rgb="FF1155CC"/>
        <sz val="8.0"/>
        <u/>
      </rPr>
      <t>https://media.distributordatasolutions.com/siemenscomplete/2022q4/documents/0c67add1b8f0e0c54eaecf751edcc56dd61a4c91.pdf</t>
    </r>
  </si>
  <si>
    <r>
      <rPr>
        <rFont val="Calibri"/>
        <color rgb="FF1155CC"/>
        <sz val="8.0"/>
        <u/>
      </rPr>
      <t>https://media.distributordatasolutions.com/siemenscomplete/2022q4/documents/4b3c2bc4b5e1ea0299cd1832033180081b32ee06.pdf</t>
    </r>
  </si>
  <si>
    <r>
      <rPr>
        <rFont val="Calibri"/>
        <color rgb="FF1155CC"/>
        <sz val="8.0"/>
        <u/>
      </rPr>
      <t>https://media.distributordatasolutions.com/siemenscomplete/2022q4/documents/4b3c2bc4b5e1ea0299cd1832033180081b32ee06.pdf</t>
    </r>
  </si>
  <si>
    <r>
      <rPr>
        <rFont val="Calibri"/>
        <color rgb="FF1155CC"/>
        <sz val="8.0"/>
        <u/>
      </rPr>
      <t>https://media.distributordatasolutions.com/siemenscomplete/2022q4/documents/4e4a6febfccecc009ce166dd96b010cdf391c490.pdf</t>
    </r>
  </si>
  <si>
    <t>https://www.werma.com/en/s_c231i2795/KS72_Classic_RM_24VAC/DC_GN/YE/RD/64900002.html</t>
  </si>
  <si>
    <r>
      <rPr>
        <rFont val="Calibri"/>
        <color rgb="FF1155CC"/>
        <sz val="8.0"/>
        <u/>
      </rPr>
      <t>https://media.distributordatasolutions.com/siemenscomplete/2022q4/documents/8538bed2ad0677e4739a45ee0b710c39a746fdc9.pdf</t>
    </r>
  </si>
  <si>
    <r>
      <rPr>
        <rFont val="Calibri"/>
        <color rgb="FF1155CC"/>
        <sz val="8.0"/>
        <u/>
      </rPr>
      <t>https://cdn.findernet.com/app/uploads/S77EN.pdf</t>
    </r>
  </si>
  <si>
    <t>https://shop.i-automation.com/products/80MPF5.500D113-01</t>
  </si>
  <si>
    <t>https://www.radwell.com/Buy/B-AND-R/B-AND-R/80SD100XD.C044-01?srsltid=AfmBOoqdDsMI2nntkqhJZmhabZHviBFGjyoQalbT3h0XbA5Q-JIoQ8dN</t>
  </si>
  <si>
    <t>https://www.amazon.com/516-356-S-516-356-S4-C-BES01H6-BALLUFF-INDUCTIVE/dp/B00OFPXE68?source=ps-sl-shoppingads-lpcontext&amp;ref_=fplfs&amp;psc=1&amp;smid=A2VTP1GK98DEWH</t>
  </si>
  <si>
    <t>https://www.smcpneumatics.com/D-M9NL.html</t>
  </si>
  <si>
    <t>Is this just a steel plate?</t>
  </si>
  <si>
    <t>https://www.automation24.biz/mounting-adapter-eaton-216374-m22-a</t>
  </si>
  <si>
    <t>https://www.tme.com/us/en-us/details/m22-pv_k01/panel-mount-switches-standard-22mm/eaton-electric/?brutto=1&amp;currency=USD&amp;utm_source=google&amp;utm_medium=cpc&amp;utm_campaign=USA%20[PLA]%20com&amp;gad_source=1&amp;gclid=Cj0KCQiA3sq6BhD2ARIsAJ8MRwWUF-5MVk1192xlWjwt2naoyDvSkW-vDGrPjfT4nw_Z2E4qooFvuCYaAn0WEALw_wcB</t>
  </si>
  <si>
    <t>https://www.tme.com/us/en-us/details/m22-pv_kc02_iy/control-stations/eaton-electric/</t>
  </si>
  <si>
    <t>https://www.tme.com/us/en-us/details/m22-wrlk-w/panel-mount-switches-standard-22mm/eaton-electric/</t>
  </si>
  <si>
    <t>https://www.automation24.biz/e-stop-plate-eaton-121372-m22-xbk11</t>
  </si>
  <si>
    <t>https://www.googleadservices.com/pagead/aclk?sa=L&amp;ai=DChcSEwi8t9-U7pSKAxWxLa0GHX4rIRgYABAJGgJwdg&amp;ae=2&amp;aspm=1&amp;co=1&amp;ase=2&amp;gclid=Cj0KCQiA3sq6BhD2ARIsAJ8MRwVFJONu6edZs3c0Nbb6Z13F4cYO97ibL_kv-0rc4mvZZChz5FPRKAwaAmmBEALw_wcB&amp;ohost=www.google.com&amp;cid=CAESVeD2fYnJO_r8afR68Y2-ufPWhM9vl6AJKeuiAeR-voYvnAinYooFZBAavHdNNuFcGp5NTiiNj-h3-3zO224wIfJjOD01tUqr-Qz0fQQxYjEvTaIHx9E&amp;sig=AOD64_2ZNSGs2-R_lFumiysmwZ00MlIIwA&amp;ctype=5&amp;q=&amp;nis=4&amp;ved=2ahUKEwjj-tmU7pSKAxW1GzQIHXgUM-wQ9aACKAB6BAgIEA8&amp;adurl=</t>
  </si>
  <si>
    <t>https://www.tme.com/us/en-us/details/p1-25_ea_svb/cam-switches/eaton-electric/?brutto=1&amp;currency=USD&amp;utm_source=google&amp;utm_medium=cpc&amp;utm_campaign=USA%20[PLA]%20com&amp;gad_source=1&amp;gclid=Cj0KCQiA3sq6BhD2ARIsAJ8MRwVIuKQ_yelpgtfNcv80fVXOpY05gE2L6CQAOFvtIpfFHlGc6E07VDAaAqtAEALw_wcB</t>
  </si>
  <si>
    <t>https://www.digikey.com/en/products/detail/phoenix-contact/2900364/2742141</t>
  </si>
  <si>
    <t>https://www.tme.com/us/en-us/details/pz-541061/standard-safety-switches/pilz/541061/?brutto=1&amp;currency=USD&amp;utm_source=google&amp;utm_medium=cpc&amp;utm_campaign=USA%20[PLA]%20com&amp;gad_source=1&amp;gclid=Cj0KCQiA3sq6BhD2ARIsAJ8MRwU5uFWmjF1jJkltBgZzjAmRNUXHD6KytA_TVZbzzogDYhkqI8KH0GAaAjTJEALw_wcB</t>
  </si>
  <si>
    <t>https://www.galco.com/570000-pilz.html?srsltid=AfmBOoqAC7yzlkv8CDRi3GQaG9Qpfj0qLfDibmwJEkA5i6cjzngv2Qpx</t>
  </si>
  <si>
    <t>https://www.lapptannehill.com/53325450-lapp-skintop-reg-dix-m-multi-cable-sealing-bushing-4-x-0-197-inch-holes-for-m25-and-npt-3-4?srsltid=AfmBOopSbc7MAP9Zty5p4XS6INVl9DVetIsAThcuRJp16NfL5Zbd2bea</t>
  </si>
  <si>
    <t>https://www.lapptannehill.com/53119020-lapp-skintop-reg-gmp-gl-m-locknut-gray-20-metric?srsltid=AfmBOooAR9Jt2-DCWaDX_HXgPjXFbFgAF-Ds_69tELeMBUGHIyIzLYpW</t>
  </si>
  <si>
    <t>https://www.lapptannehill.com/53119030-lapp-skintop-reg-gmp-gl-m-locknut-gray-25-metric?srsltid=AfmBOorocghYp-n8zV2eJAkkd_CPpa2YiDUy4NPNSlKr8mD7nJiiFWgl</t>
  </si>
  <si>
    <t>https://www.lapptannehill.com/53111020-lapp-skintop-reg-st-m-strain-relief-cable-gland-20-metric-gray-standard-thread?srsltid=AfmBOop6KDxryfMLr-M8Ruyy5wxi-AAgCghveSHYfiMcww_-X1QwXXyO</t>
  </si>
  <si>
    <t>https://www.lapptannehill.com/53111030-lapp-skintop-reg-st-m-strain-relief-cable-gland-25-metric-gray-standard-thread?srsltid=AfmBOopMb2ABOLxy9Zqg3pTCSAd-buAf6-iO5ah_l5QSLTbdgWswVbV_</t>
  </si>
  <si>
    <t>https://shop.hartfiel.com/products/X20AI4622</t>
  </si>
  <si>
    <t>https://www.classicautomation.com/Part/x20ao4622?srsltid=AfmBOoqTKJKgAl4tM5nRqDNVqRP34QdVV8cYsFh4xScuSYGXDccR8y-_</t>
  </si>
  <si>
    <t>https://www.jc-electronics.com/x20at6402</t>
  </si>
  <si>
    <t>https://www.multiwaycontrol.com/X20BB80-br-automation?srsltid=AfmBOooSL6QWiXvPibIzN74pXAwIX7Owx5nnKcP3sTzwviLXu5Lri8xr</t>
  </si>
  <si>
    <t>https://automationdistribution.com/b-r-x20bc0083-x20-bus-controller-powerlink/?srsltid=AfmBOoqOMnZgsyo9BaafOu-gE9EOQVeReMhjRi02foCBal51rtR1VG-X</t>
  </si>
  <si>
    <t>https://www.classicautomation.com/Part/x20bm11?srsltid=AfmBOor6cWPNpnnDB5tItJ_vNs9f4BMuPkEB6Y4EXXf3dFwj4lEPjtdl</t>
  </si>
  <si>
    <t>https://www.radwell.com/Buy/B-AND-R/B-AND-R/X20BM13?srsltid=AfmBOoqRQl5RSs_O7jpCXkDDR2mFmYr2y8ygA80JVNL-zoIStPnDCmdk</t>
  </si>
  <si>
    <t>https://automationdistribution.com/b-r-x20bm36-x20-bus-safety-25mm-node-nr-connection/?srsltid=AfmBOoovFL8MHtQrUOCxEcFOQQ81-lYe7RrRDFRBnGC7Ff24dZM9I4QJ</t>
  </si>
  <si>
    <t>https://www.radwell.com/Buy/B-AND-R/B-AND-R/X20BT9100?campaignid=919808602&amp;adgroupid=45995929197&amp;creative=225201147072&amp;matchtype=&amp;network=g&amp;device=c&amp;keyword=&amp;gad_source=1&amp;gclid=Cj0KCQiAgdC6BhCgARIsAPWNWH1rzK_8i7mV8oUZVO-M0Nw3KTmx2CFqd8p9Ttb2rE4H4aYIXaGaEZgaAqWnEALw_wcB</t>
  </si>
  <si>
    <t>https://automationdistribution.com/b-r-x20dc1976-x20-counter-1x-abr-ttl-250-khz-mon/?srsltid=AfmBOopP00krPpO_ozojYAT9XNhZcNZJzzNfjAkKoZPUBFL0cMyRLky2</t>
  </si>
  <si>
    <t>https://automationdistribution.com/b-r-x20di6371-x20-digital-6xi-24v-sink-2-wire/?srsltid=AfmBOopG1DUPNGzDmeKqasxv1E1CgmTgMtQb0pQYEV-RGvGLHOrc8mXk</t>
  </si>
  <si>
    <t>https://shop.hartfiel.com/products/X20DO6322</t>
  </si>
  <si>
    <t>https://www.radwell.com/Buy/B-AND-R/B-AND-R/X20MK0211/?srsltid=AfmBOoqFgDT0z5ek7uqVUxqSAVOzq059C5Tnl-5HGKCBaUdUtjPyVAvE</t>
  </si>
  <si>
    <t>https://www.radwell.com/Buy/B-AND-R/B-AND-R/X20PS9400?campaignid=919808602&amp;adgroupid=45995929197&amp;creative=225201147072&amp;matchtype=&amp;network=g&amp;device=c&amp;keyword=&amp;gad_source=1&amp;gclid=Cj0KCQiAgdC6BhCgARIsAPWNWH1OZHoYdk6hApyK25RySI2jDc-agatotkX-AvILGXLydRwBCNUptqYaAj3eEALw_wcB</t>
  </si>
  <si>
    <t>https://www.radwell.com/Buy/B-AND-R/B-AND-R/X20AT4222?campaignid=919808602&amp;adgroupid=45995929197&amp;creative=225201147072&amp;matchtype=&amp;network=g&amp;device=c&amp;keyword=&amp;gad_source=1&amp;gclid=Cj0KCQiAgdC6BhCgARIsAPWNWH2F7yKs0frf_X4kk5Ctuv_tCLNJaX_uvhBD3jIk9M5GOB_h96BVMb0aAhy5EALw_wcB</t>
  </si>
  <si>
    <t>https://www.radwell.com/Buy/B-AND-R/B-AND-R/X20SO4110?campaignid=919808602&amp;adgroupid=45995929197&amp;creative=225201147072&amp;matchtype=&amp;network=g&amp;device=c&amp;keyword=&amp;gad_source=1&amp;gclid=Cj0KCQiAgdC6BhCgARIsAPWNWH3tG8WUyyP4ySGu6TAdrkJ_ov6ZIldJkAmN6IqmYCU27hjckBmE7V8aAn8IEALw_wcB</t>
  </si>
  <si>
    <t>https://www.radwell.com/Buy/B-AND-R/B-AND-R/X20SL8101?srsltid=AfmBOopqFgKYvgjvGANWQqSdDjsDBCrzOBZEp41KR7OkWNOTScf28-fV</t>
  </si>
  <si>
    <t>https://automationdistribution.com/b-r-x20so6300-x20-safe-digital-6xo-24v-0-2a/?srsltid=AfmBOoqlLjOrVg1aqI57eemDI48tUE7wt5n4DOKsE4BPgB239kUZdO0t</t>
  </si>
  <si>
    <t>https://www.multiwaycontrol.com/X20TB12-br-automation?srsltid=AfmBOooJxi6Rz0dMf7Mh5Z5-DqSiPUfFZ2bdujIQz6xLzcwBzRNhGpci</t>
  </si>
  <si>
    <t>https://www.radwell.com/Buy/B-AND-R/B-AND-R/X20TB52?srsltid=AfmBOop5ZUqV8I0189Z1gfZQneEKE5H0evDc2xv3WFZWl1WjaEpPYl7A</t>
  </si>
  <si>
    <t>https://www.top-maschinen.de/k-c-glasmassstab-s5-100-mm-5-m-verfahrweg-120-mm-812243.html</t>
  </si>
  <si>
    <t>Total Part Count</t>
  </si>
  <si>
    <t>Small parts Cost</t>
  </si>
  <si>
    <t>Big Parts</t>
  </si>
  <si>
    <t>Vacuum Pump</t>
  </si>
  <si>
    <t>https://www.ajvs.com/pfeiffer-duo-35-c-34692</t>
  </si>
  <si>
    <t>Blower</t>
  </si>
  <si>
    <t>https://www.ebay.com/itm/326362172607?chn=ps&amp;norover=1&amp;mkevt=1&amp;mkrid=711-117182-37290-0&amp;mkcid=2&amp;mkscid=101&amp;itemid=326362172607&amp;targetid=882300791467&amp;device=c&amp;mktype=pla&amp;googleloc=9033270&amp;poi=&amp;campaignid=1669934603&amp;mkgroupid=65058347419&amp;rlsatarget=pla-882300791467&amp;abcId=1123856&amp;merchantid=614915615&amp;gad_source=1&amp;gclid=Cj0KCQiAgdC6BhCgARIsAPWNWH2QY5WXniLprVKNzMLdpUA8QnvKrdAJDg6U2amAi3qXyOOxhMSo32waAtKOEALw_wcB</t>
  </si>
  <si>
    <t>Heat Exchanger</t>
  </si>
  <si>
    <t>https://www.beckerpumpsrus.com/becker-52201297101-heat-exchanger-rv-1-17-0-114-05.html?srsltid=AfmBOorry6al1b7eTy-FzyZP4CLMxPlgwduIoB66fzwTjC3h-HCTK-56</t>
  </si>
  <si>
    <t>Laser</t>
  </si>
  <si>
    <t>Laser Control</t>
  </si>
  <si>
    <t>https://www.ebay.com/itm/176279190055?chn=ps&amp;mkevt=1&amp;mkcid=28&amp;google_free_listing_action=view_item&amp;srsltid=AfmBOoqTf9Lhw3RO83FlzLlzsQKvvU_dSd-bHnHLExf4ih9sa1EDToU69BM</t>
  </si>
  <si>
    <t>Scanner</t>
  </si>
  <si>
    <t>https://www.edmundoptics.com/p/superscan-iv-10mm-1064nm-bundle/51480/#</t>
  </si>
  <si>
    <t>Big Parts Cost</t>
  </si>
  <si>
    <t>Number</t>
  </si>
  <si>
    <t>Quantity</t>
  </si>
  <si>
    <t>CAD File</t>
  </si>
  <si>
    <t>Description</t>
  </si>
  <si>
    <t>Price</t>
  </si>
  <si>
    <t>Notes</t>
  </si>
  <si>
    <t>Need to be exact part from original?</t>
  </si>
  <si>
    <t>11_rack_chamber</t>
  </si>
  <si>
    <t>Main Frame for print assembly</t>
  </si>
  <si>
    <t>?</t>
  </si>
  <si>
    <t>Does it need to be made out of metal?</t>
  </si>
  <si>
    <t>12_flat_seal_back</t>
  </si>
  <si>
    <t>Back seal</t>
  </si>
  <si>
    <t>Liqui Moly</t>
  </si>
  <si>
    <t>https://www.liqui-moly.com/en/silicone-sealing-compound-black-p001435.html#6185</t>
  </si>
  <si>
    <t>Can probally use 1 or two bottles for all of the seals, was preffered for the enclosure.</t>
  </si>
  <si>
    <t>13_flat_seal_side</t>
  </si>
  <si>
    <t>Side seals</t>
  </si>
  <si>
    <t>14_flat_seal_top_bottom</t>
  </si>
  <si>
    <t>Top bottom seals</t>
  </si>
  <si>
    <t>15_seal_door</t>
  </si>
  <si>
    <t>Door seal</t>
  </si>
  <si>
    <t>17A1</t>
  </si>
  <si>
    <t>17A2</t>
  </si>
  <si>
    <t>17A3</t>
  </si>
  <si>
    <t>17A4</t>
  </si>
  <si>
    <t>17A5</t>
  </si>
  <si>
    <t>17A6</t>
  </si>
  <si>
    <t>17A7</t>
  </si>
  <si>
    <t>17A8</t>
  </si>
  <si>
    <t>17A9</t>
  </si>
  <si>
    <t>17AA</t>
  </si>
  <si>
    <t>17AB</t>
  </si>
  <si>
    <t>17AC</t>
  </si>
  <si>
    <t>17AD</t>
  </si>
  <si>
    <t>17AE</t>
  </si>
  <si>
    <t>17AF</t>
  </si>
  <si>
    <t>17AG</t>
  </si>
  <si>
    <t>17AH</t>
  </si>
  <si>
    <t>17AI</t>
  </si>
  <si>
    <t>17AJ</t>
  </si>
  <si>
    <t>17AK</t>
  </si>
  <si>
    <t>17AL</t>
  </si>
  <si>
    <t>17AM</t>
  </si>
  <si>
    <t>17B</t>
  </si>
  <si>
    <t>1A1</t>
  </si>
  <si>
    <t>1A2</t>
  </si>
  <si>
    <t>1A3</t>
  </si>
  <si>
    <t>1A41</t>
  </si>
  <si>
    <t>1A42</t>
  </si>
  <si>
    <t>1A51</t>
  </si>
  <si>
    <t>1A52</t>
  </si>
  <si>
    <t>1B1</t>
  </si>
  <si>
    <t>1B2</t>
  </si>
  <si>
    <t>1B3</t>
  </si>
  <si>
    <t>1B51</t>
  </si>
  <si>
    <t>1B52</t>
  </si>
  <si>
    <t>1B61</t>
  </si>
  <si>
    <t>1C0</t>
  </si>
  <si>
    <t>1D1</t>
  </si>
  <si>
    <t>1D2</t>
  </si>
  <si>
    <t>1D3</t>
  </si>
  <si>
    <t>1E</t>
  </si>
  <si>
    <t>2A1</t>
  </si>
  <si>
    <t>2A2</t>
  </si>
  <si>
    <t>2A3</t>
  </si>
  <si>
    <t>2A4</t>
  </si>
  <si>
    <t>2A51</t>
  </si>
  <si>
    <t>2A6</t>
  </si>
  <si>
    <t>2A7</t>
  </si>
  <si>
    <t>2A8</t>
  </si>
  <si>
    <t>2A9</t>
  </si>
  <si>
    <t>2AA</t>
  </si>
  <si>
    <t>2AB</t>
  </si>
  <si>
    <t>2AC1</t>
  </si>
  <si>
    <t>2AC2</t>
  </si>
  <si>
    <t>2AC3</t>
  </si>
  <si>
    <t>2AC4</t>
  </si>
  <si>
    <t>2AC5</t>
  </si>
  <si>
    <t>2AC6</t>
  </si>
  <si>
    <t>2AC7</t>
  </si>
  <si>
    <t>2AC8</t>
  </si>
  <si>
    <t>2AC9</t>
  </si>
  <si>
    <t>2AD1</t>
  </si>
  <si>
    <t>2AD2</t>
  </si>
  <si>
    <t>2AD3</t>
  </si>
  <si>
    <t>2AD4</t>
  </si>
  <si>
    <t>2AD5</t>
  </si>
  <si>
    <t>2AD6</t>
  </si>
  <si>
    <t>2AD7</t>
  </si>
  <si>
    <t>2AD8</t>
  </si>
  <si>
    <t>2AD9</t>
  </si>
  <si>
    <t>2ADA</t>
  </si>
  <si>
    <t>2ADB</t>
  </si>
  <si>
    <t>2ADC</t>
  </si>
  <si>
    <t>2AE</t>
  </si>
  <si>
    <t>2AF1</t>
  </si>
  <si>
    <t>2AG</t>
  </si>
  <si>
    <t>2AH</t>
  </si>
  <si>
    <t>2AI</t>
  </si>
  <si>
    <t>2AJ1</t>
  </si>
  <si>
    <t>2AK1</t>
  </si>
  <si>
    <t>2AL1</t>
  </si>
  <si>
    <t>1AL211</t>
  </si>
  <si>
    <t>2AM1</t>
  </si>
  <si>
    <t>2AM2</t>
  </si>
  <si>
    <t>2AN</t>
  </si>
  <si>
    <t>2AO`</t>
  </si>
  <si>
    <t>2AO1</t>
  </si>
  <si>
    <t>2AP1</t>
  </si>
  <si>
    <t>2AP2</t>
  </si>
  <si>
    <t>2AP3</t>
  </si>
  <si>
    <t>2AP4</t>
  </si>
  <si>
    <t>2AP6</t>
  </si>
  <si>
    <t>2AP7</t>
  </si>
  <si>
    <t>2AP8</t>
  </si>
  <si>
    <t>2AP9</t>
  </si>
  <si>
    <t>2APA</t>
  </si>
  <si>
    <t>2APB</t>
  </si>
  <si>
    <t>2APC</t>
  </si>
  <si>
    <t>2APD</t>
  </si>
  <si>
    <t>2APE</t>
  </si>
  <si>
    <t>2APH</t>
  </si>
  <si>
    <t>2API</t>
  </si>
  <si>
    <t>2AQ</t>
  </si>
  <si>
    <t>2AR</t>
  </si>
  <si>
    <t>2AT2</t>
  </si>
  <si>
    <t>2AT3</t>
  </si>
  <si>
    <t>2AU2</t>
  </si>
  <si>
    <t>2AU3</t>
  </si>
  <si>
    <t>2AV1</t>
  </si>
  <si>
    <t>2AV2</t>
  </si>
  <si>
    <t>2AV3</t>
  </si>
  <si>
    <t>2AV4</t>
  </si>
  <si>
    <t>2AV5</t>
  </si>
  <si>
    <t>2AV6</t>
  </si>
  <si>
    <t>2AV7</t>
  </si>
  <si>
    <t>2AV8</t>
  </si>
  <si>
    <t>2AV9</t>
  </si>
  <si>
    <t>2AVA</t>
  </si>
  <si>
    <t>2AVB</t>
  </si>
  <si>
    <t>2AVC</t>
  </si>
  <si>
    <t>3A</t>
  </si>
  <si>
    <t>3B</t>
  </si>
  <si>
    <t>3C</t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</si>
  <si>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</si>
  <si>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</si>
  <si>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</si>
  <si>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</si>
  <si>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</si>
  <si>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</si>
  <si>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</si>
  <si>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</si>
  <si>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</si>
  <si>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3M</t>
  </si>
  <si>
    <t>3N1</t>
  </si>
  <si>
    <t>3N2</t>
  </si>
  <si>
    <t>3O2</t>
  </si>
  <si>
    <t>3O3</t>
  </si>
  <si>
    <t>3O4</t>
  </si>
  <si>
    <t>3P1</t>
  </si>
  <si>
    <t>3P2</t>
  </si>
  <si>
    <t>3P4</t>
  </si>
  <si>
    <t>3P5</t>
  </si>
  <si>
    <t>3P6</t>
  </si>
  <si>
    <t>3P7</t>
  </si>
  <si>
    <t>3Q1</t>
  </si>
  <si>
    <t>3Q2</t>
  </si>
  <si>
    <t>3Q3</t>
  </si>
  <si>
    <t>3Q4</t>
  </si>
  <si>
    <t>3Q5</t>
  </si>
  <si>
    <t>3R1</t>
  </si>
  <si>
    <t>3R2</t>
  </si>
  <si>
    <t>3S1</t>
  </si>
  <si>
    <t>3S2</t>
  </si>
  <si>
    <t>3S31</t>
  </si>
  <si>
    <t>3S32</t>
  </si>
  <si>
    <t>3S33</t>
  </si>
  <si>
    <t>3S34</t>
  </si>
  <si>
    <t>3S35</t>
  </si>
  <si>
    <t>3S36</t>
  </si>
  <si>
    <t>3S37</t>
  </si>
  <si>
    <t>3S38</t>
  </si>
  <si>
    <t>3S39</t>
  </si>
  <si>
    <t>3S40</t>
  </si>
  <si>
    <t>3S41</t>
  </si>
  <si>
    <t>3S42</t>
  </si>
  <si>
    <t>3S43</t>
  </si>
  <si>
    <t>3S44</t>
  </si>
  <si>
    <t>3S45</t>
  </si>
  <si>
    <t>3S46</t>
  </si>
  <si>
    <t>3S47</t>
  </si>
  <si>
    <t>3S48</t>
  </si>
  <si>
    <t>3T</t>
  </si>
  <si>
    <t>3U</t>
  </si>
  <si>
    <t>3V</t>
  </si>
  <si>
    <t>41A</t>
  </si>
  <si>
    <t>41B</t>
  </si>
  <si>
    <t>41C</t>
  </si>
  <si>
    <t>41D</t>
  </si>
  <si>
    <t>41E</t>
  </si>
  <si>
    <t>42A</t>
  </si>
  <si>
    <t>42B</t>
  </si>
  <si>
    <t>61B</t>
  </si>
  <si>
    <t>6A</t>
  </si>
  <si>
    <t>6B1</t>
  </si>
  <si>
    <t>6B2</t>
  </si>
  <si>
    <t>6B3</t>
  </si>
  <si>
    <t>6C1</t>
  </si>
  <si>
    <t>6C2</t>
  </si>
  <si>
    <t>6C5</t>
  </si>
  <si>
    <t>6D</t>
  </si>
  <si>
    <t>6.E.1</t>
  </si>
  <si>
    <t>6.E.2</t>
  </si>
  <si>
    <t>6.E.3</t>
  </si>
  <si>
    <t>6.E.4</t>
  </si>
  <si>
    <t>6F</t>
  </si>
  <si>
    <t>6G</t>
  </si>
  <si>
    <t>6H1</t>
  </si>
  <si>
    <t>6H2</t>
  </si>
  <si>
    <t>6H3</t>
  </si>
  <si>
    <t>6I</t>
  </si>
  <si>
    <t>6J</t>
  </si>
  <si>
    <t>6K</t>
  </si>
  <si>
    <t>6L</t>
  </si>
  <si>
    <t>6M1</t>
  </si>
  <si>
    <t>6M2</t>
  </si>
  <si>
    <t>6N1</t>
  </si>
  <si>
    <t>6N2</t>
  </si>
  <si>
    <t>6O</t>
  </si>
  <si>
    <t>6P</t>
  </si>
  <si>
    <t>6R</t>
  </si>
  <si>
    <t>6S1</t>
  </si>
  <si>
    <t>6S2</t>
  </si>
  <si>
    <t>6S3</t>
  </si>
  <si>
    <t>6T</t>
  </si>
  <si>
    <t>6U</t>
  </si>
  <si>
    <t>6W</t>
  </si>
  <si>
    <t>6X</t>
  </si>
  <si>
    <t>6Y</t>
  </si>
  <si>
    <t>8A</t>
  </si>
  <si>
    <t>8B</t>
  </si>
  <si>
    <t>8C1</t>
  </si>
  <si>
    <t>8C2</t>
  </si>
  <si>
    <t>8D1</t>
  </si>
  <si>
    <t>8D2</t>
  </si>
  <si>
    <t>91A</t>
  </si>
  <si>
    <t>91B</t>
  </si>
  <si>
    <t>91C</t>
  </si>
  <si>
    <t>91D</t>
  </si>
  <si>
    <t>91E</t>
  </si>
  <si>
    <t>91F1</t>
  </si>
  <si>
    <t>91F2</t>
  </si>
  <si>
    <t>91G</t>
  </si>
  <si>
    <t>91H</t>
  </si>
  <si>
    <t>9A</t>
  </si>
  <si>
    <t>9B</t>
  </si>
  <si>
    <t>9C</t>
  </si>
  <si>
    <t>Part Name</t>
  </si>
  <si>
    <t>00_assembly</t>
  </si>
  <si>
    <t>Working BOM</t>
  </si>
  <si>
    <t>as of December 7, 2024 at 7:34:07 PM UTC</t>
  </si>
  <si>
    <t>Exported by</t>
  </si>
  <si>
    <t>nealpeacockcontact@gmail.com</t>
  </si>
  <si>
    <t>Time of Export</t>
  </si>
  <si>
    <t>11:34 AM Dec 7, 2024</t>
  </si>
  <si>
    <t/>
  </si>
  <si>
    <t>Level</t>
  </si>
  <si>
    <t>Part Number</t>
  </si>
  <si>
    <t>External Component</t>
  </si>
  <si>
    <t>Milestone</t>
  </si>
  <si>
    <t>Item Number</t>
  </si>
  <si>
    <t>State</t>
  </si>
  <si>
    <t>Revision</t>
  </si>
  <si>
    <t>Lifecycle</t>
  </si>
  <si>
    <t>Material Name</t>
  </si>
  <si>
    <t>Change Order</t>
  </si>
  <si>
    <t>1</t>
  </si>
  <si>
    <t>Working</t>
  </si>
  <si>
    <t>Steel</t>
  </si>
  <si>
    <t>1.1</t>
  </si>
  <si>
    <t>10_chamber</t>
  </si>
  <si>
    <t>1.1.1</t>
  </si>
  <si>
    <t>1E_adapter_hinge</t>
  </si>
  <si>
    <t>Generic</t>
  </si>
  <si>
    <t>1.1.2</t>
  </si>
  <si>
    <t>1.1.3</t>
  </si>
  <si>
    <t>1.1.4</t>
  </si>
  <si>
    <t>190_left_side</t>
  </si>
  <si>
    <t>1.1.4.1</t>
  </si>
  <si>
    <t>193_clamp_ISO_KF_DN40</t>
  </si>
  <si>
    <t>STEP AP214</t>
  </si>
  <si>
    <t>1.1.4.2</t>
  </si>
  <si>
    <t>195_blind_flange_ISO_KF_DN40</t>
  </si>
  <si>
    <t>1.1.4.3</t>
  </si>
  <si>
    <t>191_left_side_plate</t>
  </si>
  <si>
    <t>1.1.4.4</t>
  </si>
  <si>
    <t>192_pressure_relief_valve</t>
  </si>
  <si>
    <t>1.1.4.5</t>
  </si>
  <si>
    <t>194_centering_ring_ISO_KF_DN40</t>
  </si>
  <si>
    <t>1.1.5</t>
  </si>
  <si>
    <t>1D0_hinge</t>
  </si>
  <si>
    <t>1.1.5.1</t>
  </si>
  <si>
    <t>1D3_part_3</t>
  </si>
  <si>
    <t>1.1.5.2</t>
  </si>
  <si>
    <t>1D2_part_2</t>
  </si>
  <si>
    <t>1.1.5.3</t>
  </si>
  <si>
    <t>1D1_part_1</t>
  </si>
  <si>
    <t>1.1.6</t>
  </si>
  <si>
    <t>Stainless Steel</t>
  </si>
  <si>
    <t>1.1.7</t>
  </si>
  <si>
    <t>1.1.8</t>
  </si>
  <si>
    <t>1C0_clamp_GN 820_2-230-MFC</t>
  </si>
  <si>
    <t>GN 820.2-Toggle clamps, Type MFC, U-bar version, with two flanged washers and GN spindle assembly</t>
  </si>
  <si>
    <t>1.1.8.1</t>
  </si>
  <si>
    <t>1C1_part_1</t>
  </si>
  <si>
    <t>GN 820.2-1-Toggle clamps, Operating lever horizontal, with side mounting</t>
  </si>
  <si>
    <t>1.1.8.2</t>
  </si>
  <si>
    <t>1C2_part_2</t>
  </si>
  <si>
    <t>GN 820.2-2-Toggle clamps, Operating lever horizontal, with side mounting</t>
  </si>
  <si>
    <t>1.1.8.3</t>
  </si>
  <si>
    <t>1C6_clamping_bolt_GN 708_1-M8-68-A-ST 2</t>
  </si>
  <si>
    <t>GN 708.1 A-Clamping bolts with rubber pressure pad, Type A, straight pressure pad</t>
  </si>
  <si>
    <t>1.1.8.4</t>
  </si>
  <si>
    <t>1C3_part_3</t>
  </si>
  <si>
    <t>GN 820.2-3-Toggle clamps, Operating lever horizontal, with side mounting</t>
  </si>
  <si>
    <t>1.1.8.5</t>
  </si>
  <si>
    <t>1C5_part_5</t>
  </si>
  <si>
    <t>GN 820.2-5-Toggle clamps, Operating lever horizontal, with side mounting</t>
  </si>
  <si>
    <t>1.1.8.6</t>
  </si>
  <si>
    <t>1C4_part_4</t>
  </si>
  <si>
    <t>GN 820.2-4-Toggle clamps, Operating lever horizontal, with side mounting</t>
  </si>
  <si>
    <t>1.1.9</t>
  </si>
  <si>
    <t>170_top</t>
  </si>
  <si>
    <t>1.1.9.1</t>
  </si>
  <si>
    <t>17B_dummy_oxygen_sensor_A19N</t>
  </si>
  <si>
    <t>1.1.9.2</t>
  </si>
  <si>
    <t>179_scanner_flange</t>
  </si>
  <si>
    <t>1.1.9.3</t>
  </si>
  <si>
    <t>1750_flir_window_D75</t>
  </si>
  <si>
    <t>1.1.9.3.1</t>
  </si>
  <si>
    <t>1751_cover</t>
  </si>
  <si>
    <t>1.1.9.3.2</t>
  </si>
  <si>
    <t>1753_flir_window_glas</t>
  </si>
  <si>
    <t>1.1.9.3.3</t>
  </si>
  <si>
    <t>ISO 3601-1 - B 0690 G</t>
  </si>
  <si>
    <t>1752_seal_ISO 3601-1 - B 0690 G</t>
  </si>
  <si>
    <t>Hydrosysteme - O-Ring</t>
  </si>
  <si>
    <t>Rubber</t>
  </si>
  <si>
    <t>1.1.9.4</t>
  </si>
  <si>
    <t>171_top_plate</t>
  </si>
  <si>
    <t>1.1.9.5</t>
  </si>
  <si>
    <t>17A0_hood</t>
  </si>
  <si>
    <t>1.1.9.5.1</t>
  </si>
  <si>
    <t>17A2_strut_profile_20X20_629</t>
  </si>
  <si>
    <t>Aluminum 6061</t>
  </si>
  <si>
    <t>1.1.9.5.2</t>
  </si>
  <si>
    <t>17AE_strut_profile_20X20_604</t>
  </si>
  <si>
    <t>1.1.9.5.3</t>
  </si>
  <si>
    <t>17AD_strut_profile_20X20_110</t>
  </si>
  <si>
    <t>1.1.9.5.4</t>
  </si>
  <si>
    <t>17AI_hinge</t>
  </si>
  <si>
    <t>1.1.9.5.5</t>
  </si>
  <si>
    <t>17AM_sheet_back</t>
  </si>
  <si>
    <t>1.1.9.5.6</t>
  </si>
  <si>
    <t>17AB_strut_profile_20X20_473</t>
  </si>
  <si>
    <t>1.1.9.5.7</t>
  </si>
  <si>
    <t>17A4_strut_profile_20X20_463</t>
  </si>
  <si>
    <t>1.1.9.5.8</t>
  </si>
  <si>
    <t>17AF_handle</t>
  </si>
  <si>
    <t>PC/ABS Plastic</t>
  </si>
  <si>
    <t>1.1.9.5.9</t>
  </si>
  <si>
    <t>17A3_strut_profile_20X20_135</t>
  </si>
  <si>
    <t>1.1.9.5.10</t>
  </si>
  <si>
    <t>17AA_strut_profile_20X20_271</t>
  </si>
  <si>
    <t>1.1.9.5.11</t>
  </si>
  <si>
    <t>17AL_sheet_side</t>
  </si>
  <si>
    <t>1.1.9.5.12</t>
  </si>
  <si>
    <t>17A8_strut_profile_20X20_D70</t>
  </si>
  <si>
    <t>1.1.9.5.13</t>
  </si>
  <si>
    <t>17A9_strut_profile_20X20_343</t>
  </si>
  <si>
    <t>1.1.9.5.14</t>
  </si>
  <si>
    <t>17A7_strut_profile_20X20_D50</t>
  </si>
  <si>
    <t>1.1.9.5.15</t>
  </si>
  <si>
    <t>17A1_strut_profile_20X20_492</t>
  </si>
  <si>
    <t>1.1.9.5.16</t>
  </si>
  <si>
    <t>17AK_sheet_top</t>
  </si>
  <si>
    <t>1.1.9.5.17</t>
  </si>
  <si>
    <t>17AJ_sheet_front</t>
  </si>
  <si>
    <t>1.1.9.5.18</t>
  </si>
  <si>
    <t>17A5_strut_profile_20X20_484</t>
  </si>
  <si>
    <t>1.1.9.5.19</t>
  </si>
  <si>
    <t>17A6_strut_profile_20X20_D108</t>
  </si>
  <si>
    <t>1.1.9.5.20</t>
  </si>
  <si>
    <t>17AC_strut_profile_20X20_296</t>
  </si>
  <si>
    <t>1.1.9.6</t>
  </si>
  <si>
    <t>174_dummy_scanner_flange</t>
  </si>
  <si>
    <t>1.1.9.7</t>
  </si>
  <si>
    <t>1770_ot_window_D75</t>
  </si>
  <si>
    <t>1.1.9.7.1</t>
  </si>
  <si>
    <t>1772_cover</t>
  </si>
  <si>
    <t>1.1.9.7.2</t>
  </si>
  <si>
    <t>1773_ot_window_glas</t>
  </si>
  <si>
    <t>1.1.9.7.3</t>
  </si>
  <si>
    <t>1771_seal_ISO 3601-1 - B 0690 G</t>
  </si>
  <si>
    <t>1.1.9.8</t>
  </si>
  <si>
    <t>173_flat_seal_top_plate_changeable</t>
  </si>
  <si>
    <t>1.1.9.9</t>
  </si>
  <si>
    <t>176_flir_camera</t>
  </si>
  <si>
    <t>1.1.9.10</t>
  </si>
  <si>
    <t>172_top_plate_changeable</t>
  </si>
  <si>
    <t>1.1.9.11</t>
  </si>
  <si>
    <t>1780_MB4560_M-Step</t>
  </si>
  <si>
    <t>STEP AP203</t>
  </si>
  <si>
    <t>1.1.9.11.1</t>
  </si>
  <si>
    <t>1781_aluminium_breadboard_450x600x12.7_MB3030</t>
  </si>
  <si>
    <t>1.1.10</t>
  </si>
  <si>
    <t>1.1.11</t>
  </si>
  <si>
    <t>160_bottom</t>
  </si>
  <si>
    <t>1.1.11.1</t>
  </si>
  <si>
    <t>161_bottom_plate</t>
  </si>
  <si>
    <t>1.1.11.2</t>
  </si>
  <si>
    <t>162_bottom_plate_changeable</t>
  </si>
  <si>
    <t>1.1.12</t>
  </si>
  <si>
    <t>180_right_side</t>
  </si>
  <si>
    <t>1.1.12.1</t>
  </si>
  <si>
    <t>181_right_side_plate</t>
  </si>
  <si>
    <t>1.1.13</t>
  </si>
  <si>
    <t>1B0_door</t>
  </si>
  <si>
    <t>1.1.13.1</t>
  </si>
  <si>
    <t>1B2_handle</t>
  </si>
  <si>
    <t>1.1.13.2</t>
  </si>
  <si>
    <t>1B50_schlieren_imaging_door</t>
  </si>
  <si>
    <t>1.1.13.2.1</t>
  </si>
  <si>
    <t>1B51_SM2A53-Step</t>
  </si>
  <si>
    <t>1.1.13.2.2</t>
  </si>
  <si>
    <t>1B52_flange_schlieren_imaging</t>
  </si>
  <si>
    <t>1.1.13.3</t>
  </si>
  <si>
    <t>1B3_flange_schlieren_imaging</t>
  </si>
  <si>
    <t>1.1.13.4</t>
  </si>
  <si>
    <t>1B40_laser_safety_glas</t>
  </si>
  <si>
    <t>1.1.13.4.1</t>
  </si>
  <si>
    <t>1B43_frame</t>
  </si>
  <si>
    <t>1.1.13.4.2</t>
  </si>
  <si>
    <t>1B42_seal</t>
  </si>
  <si>
    <t>1.1.13.4.3</t>
  </si>
  <si>
    <t>1B41_glas</t>
  </si>
  <si>
    <t>1.1.13.5</t>
  </si>
  <si>
    <t>1B1_door_plate</t>
  </si>
  <si>
    <t>1.1.13.6</t>
  </si>
  <si>
    <t>1B60_schlieren_imaging_inside</t>
  </si>
  <si>
    <t>1.1.13.6.1</t>
  </si>
  <si>
    <t>1B61_seal</t>
  </si>
  <si>
    <t>1.1.13.6.2</t>
  </si>
  <si>
    <t>1B62_cover</t>
  </si>
  <si>
    <t>1.1.14</t>
  </si>
  <si>
    <t>1A0_back</t>
  </si>
  <si>
    <t>1.1.14.1</t>
  </si>
  <si>
    <t>1A40_schlieren_imaging</t>
  </si>
  <si>
    <t>1.1.14.1.1</t>
  </si>
  <si>
    <t>1A41_SM2A53-Step</t>
  </si>
  <si>
    <t>1.1.14.1.2</t>
  </si>
  <si>
    <t>1A42_flange_schlieren_imaging</t>
  </si>
  <si>
    <t>1.1.14.2</t>
  </si>
  <si>
    <t>1A3_mounting_plate_flow_rectifier</t>
  </si>
  <si>
    <t>1.1.14.3</t>
  </si>
  <si>
    <t>1A2_flange_schlieren_imaging</t>
  </si>
  <si>
    <t>1.1.14.4</t>
  </si>
  <si>
    <t>1A1_back_plate</t>
  </si>
  <si>
    <t>1.1.14.5</t>
  </si>
  <si>
    <t>1A50_schlieren_imaging_inside</t>
  </si>
  <si>
    <t>1.1.14.5.1</t>
  </si>
  <si>
    <t>1A52_cover</t>
  </si>
  <si>
    <t>1.1.14.5.2</t>
  </si>
  <si>
    <t>1A51_seal</t>
  </si>
  <si>
    <t>1.2</t>
  </si>
  <si>
    <t>90_rack</t>
  </si>
  <si>
    <t>1.2.1</t>
  </si>
  <si>
    <t>95_profile_60x60_740</t>
  </si>
  <si>
    <t>no description</t>
  </si>
  <si>
    <t>Aluminum</t>
  </si>
  <si>
    <t>1.2.2</t>
  </si>
  <si>
    <t>9C_top_spacer</t>
  </si>
  <si>
    <t>1.2.3</t>
  </si>
  <si>
    <t>96_profile_60x60_300</t>
  </si>
  <si>
    <t>1.2.4</t>
  </si>
  <si>
    <t>94_profile_60x60_350</t>
  </si>
  <si>
    <t>1.2.5</t>
  </si>
  <si>
    <t>93_profile_60x60_710</t>
  </si>
  <si>
    <t>1.2.6</t>
  </si>
  <si>
    <t>99_bottom_square_profile</t>
  </si>
  <si>
    <t>1.2.7</t>
  </si>
  <si>
    <t>97_profile_60x60_1020</t>
  </si>
  <si>
    <t>1.2.8</t>
  </si>
  <si>
    <t>9B_profile_60x60_960</t>
  </si>
  <si>
    <t>9D_profile_60x60_450</t>
  </si>
  <si>
    <t>Generisch</t>
  </si>
  <si>
    <t>1.2.9</t>
  </si>
  <si>
    <t>92_profile_60x60_2120</t>
  </si>
  <si>
    <t>1.2.10</t>
  </si>
  <si>
    <t>910_base_rack</t>
  </si>
  <si>
    <t>1.2.10.1</t>
  </si>
  <si>
    <t>918_square_profile_DIN_EN_10219-2_80x80x5_740</t>
  </si>
  <si>
    <t>Kaltgeformte, geschweißte Baustahl-Hohlprofile aus unlegiertem Feinkorn-Baustahl</t>
  </si>
  <si>
    <t>Steel, Mild</t>
  </si>
  <si>
    <t>1.2.10.2</t>
  </si>
  <si>
    <t>913_square_profile_80x80x5_connection</t>
  </si>
  <si>
    <t>1.2.10.3</t>
  </si>
  <si>
    <t>919_square_profile_DIN_EN_10219-2_80x80x5_950</t>
  </si>
  <si>
    <t>1.2.10.4</t>
  </si>
  <si>
    <t>914_square_profile_DIN_EN_10219-2_80x80x5_960</t>
  </si>
  <si>
    <t>1.2.10.5</t>
  </si>
  <si>
    <t>91H_mount_bottom</t>
  </si>
  <si>
    <t>1.2.10.6</t>
  </si>
  <si>
    <t>91B_square_profile_DIN_EN_10219-2_80x80x5_700</t>
  </si>
  <si>
    <t>1.2.10.7</t>
  </si>
  <si>
    <t>91F0_square_profile_mount</t>
  </si>
  <si>
    <t>1.2.10.7.1</t>
  </si>
  <si>
    <t>91F1_square_profile_DIN_EN_10219-2_80x80x5_150</t>
  </si>
  <si>
    <t>1.2.10.7.2</t>
  </si>
  <si>
    <t>91F2_plate_80x80x10_M12</t>
  </si>
  <si>
    <t>1.2.10.8</t>
  </si>
  <si>
    <t>91E_angle_profile_closed_DIN_59370_50x5</t>
  </si>
  <si>
    <t>1.2.10.9</t>
  </si>
  <si>
    <t>91A_square_profile_DIN_EN_10219-2_80x80x5_670</t>
  </si>
  <si>
    <t>1.2.10.10</t>
  </si>
  <si>
    <t>91G_mount_top</t>
  </si>
  <si>
    <t>1.2.10.11</t>
  </si>
  <si>
    <t>912_name_tag</t>
  </si>
  <si>
    <t>1.2.10.12</t>
  </si>
  <si>
    <t>916_square_profile_DIN_EN_10219-2_80x80x5_970</t>
  </si>
  <si>
    <t>1.2.10.13</t>
  </si>
  <si>
    <t>91C_angle_profile_DIN_59370_50x5_200</t>
  </si>
  <si>
    <t>scharfkantiges L-Profil</t>
  </si>
  <si>
    <t>1.2.10.14</t>
  </si>
  <si>
    <t>9110_base_plate_with_foot</t>
  </si>
  <si>
    <t>1.2.10.14.1</t>
  </si>
  <si>
    <t>9112_base_plate_120x80x10_M20</t>
  </si>
  <si>
    <t>1.2.10.14.2</t>
  </si>
  <si>
    <t>9111_foot</t>
  </si>
  <si>
    <t>GN 345-Levelling feet, Foot plastic / Threaded stud steel with two fixing holes, Type BG, with nut, with rubber underlay</t>
  </si>
  <si>
    <t>1.2.10.15</t>
  </si>
  <si>
    <t>917_square_profile_DIN_EN_10219-2_80x80x5_1670</t>
  </si>
  <si>
    <t>1.2.10.16</t>
  </si>
  <si>
    <t>91D_angle_profile_DIN_59370_50x5_810</t>
  </si>
  <si>
    <t>1.2.10.17</t>
  </si>
  <si>
    <t>915_square_profile_DIN_EN_10219-2_80x80x5_810</t>
  </si>
  <si>
    <t>1.2.11</t>
  </si>
  <si>
    <t>9A_top_square_profile</t>
  </si>
  <si>
    <t>1.2.12</t>
  </si>
  <si>
    <t>98_plate</t>
  </si>
  <si>
    <t>1.2.13</t>
  </si>
  <si>
    <t>1.2.14</t>
  </si>
  <si>
    <t>9E_profile_60x60_170</t>
  </si>
  <si>
    <t>1.3</t>
  </si>
  <si>
    <t>40_powder_supply</t>
  </si>
  <si>
    <t>1.3.1</t>
  </si>
  <si>
    <t>410_powder_inlet</t>
  </si>
  <si>
    <t>1.3.1.1</t>
  </si>
  <si>
    <t>4170_powder_chute</t>
  </si>
  <si>
    <t>1.3.1.1.1</t>
  </si>
  <si>
    <t>4171_flange_bottom</t>
  </si>
  <si>
    <t>1.3.1.1.2</t>
  </si>
  <si>
    <t>4176_chute_front</t>
  </si>
  <si>
    <t>1.3.1.1.3</t>
  </si>
  <si>
    <t>4173_flange_cover</t>
  </si>
  <si>
    <t>1.3.1.1.4</t>
  </si>
  <si>
    <t>4172_cover_top</t>
  </si>
  <si>
    <t>1.3.1.1.5</t>
  </si>
  <si>
    <t>4174_chute_side</t>
  </si>
  <si>
    <t>1.3.1.1.6</t>
  </si>
  <si>
    <t>4175_chute_back</t>
  </si>
  <si>
    <t>1.3.1.2</t>
  </si>
  <si>
    <t>41C_clamping_ring_ISO_KF_DN40_120BSR040</t>
  </si>
  <si>
    <t>1.3.1.3</t>
  </si>
  <si>
    <t>4130_floating_bearing</t>
  </si>
  <si>
    <t>1.3.1.3.1</t>
  </si>
  <si>
    <t>4131_bearing_pedestal</t>
  </si>
  <si>
    <t>1.3.1.4</t>
  </si>
  <si>
    <t>41A_belt_pulley_D12-575390</t>
  </si>
  <si>
    <t>1.3.1.5</t>
  </si>
  <si>
    <t>4160_valves_unit</t>
  </si>
  <si>
    <t>1.3.1.5.1</t>
  </si>
  <si>
    <t>4163_seal_ISO_KF_DN40</t>
  </si>
  <si>
    <t>1.3.1.5.2</t>
  </si>
  <si>
    <t>4162_clamping_ring_ISO_KF_DN40_120BSR040</t>
  </si>
  <si>
    <t>1.3.1.5.3</t>
  </si>
  <si>
    <t>4164_powder_container_2_liter</t>
  </si>
  <si>
    <t>Steel AISI 1144</t>
  </si>
  <si>
    <t>1.3.1.5.4</t>
  </si>
  <si>
    <t>41610_valve_sv04_din_cc_dn40_-_aisi_316l-1_4404_-_epdm</t>
  </si>
  <si>
    <t>1.3.1.5.4.1</t>
  </si>
  <si>
    <t>41613_valve_part_3</t>
  </si>
  <si>
    <t>1.3.1.5.4.2</t>
  </si>
  <si>
    <t>41611_valve_part_1</t>
  </si>
  <si>
    <t>1.3.1.5.4.3</t>
  </si>
  <si>
    <t>41612_valve_part_2</t>
  </si>
  <si>
    <t>1.3.1.6</t>
  </si>
  <si>
    <t>418_shaft</t>
  </si>
  <si>
    <t>1.3.1.7</t>
  </si>
  <si>
    <t>4150_motor_gearbox_mount</t>
  </si>
  <si>
    <t>1.3.1.7.1</t>
  </si>
  <si>
    <t>4153_mount_part_1</t>
  </si>
  <si>
    <t>1.3.1.7.2</t>
  </si>
  <si>
    <t>4154_mount_part_2</t>
  </si>
  <si>
    <t>1.3.1.7.3</t>
  </si>
  <si>
    <t>41510_motor_80MPD1.300S000-01</t>
  </si>
  <si>
    <t>1.3.1.7.3.1</t>
  </si>
  <si>
    <t>41511_part_1</t>
  </si>
  <si>
    <t>1.3.1.7.3.2</t>
  </si>
  <si>
    <t>41512_part_2</t>
  </si>
  <si>
    <t>1.3.1.7.4</t>
  </si>
  <si>
    <t>41520_gearbox_8GP40_060__016S2J2_1</t>
  </si>
  <si>
    <t>1.3.1.7.4.1</t>
  </si>
  <si>
    <t>41521_gearbox</t>
  </si>
  <si>
    <t>PART-8GP40-060--016S2J2_1-DESC</t>
  </si>
  <si>
    <t>1.3.1.8</t>
  </si>
  <si>
    <t>4120_fixed_bearing</t>
  </si>
  <si>
    <t>1.3.1.8.1</t>
  </si>
  <si>
    <t>4124_clamp_ISO_KF_DN40</t>
  </si>
  <si>
    <t>1.3.1.8.2</t>
  </si>
  <si>
    <t>4125_bearing_pedestal</t>
  </si>
  <si>
    <t>1.3.1.8.3</t>
  </si>
  <si>
    <t>4123_vacuum_rotary_feedthrough_PF224010-T</t>
  </si>
  <si>
    <t>1.3.1.8.4</t>
  </si>
  <si>
    <t>41210_bearing_SKF_61905-2RS1</t>
  </si>
  <si>
    <t>BB1_001_101-Deep groove ball bearings</t>
  </si>
  <si>
    <t>1.3.1.8.4.1</t>
  </si>
  <si>
    <t>41213_ball</t>
  </si>
  <si>
    <t>BB1_001_101_ball1-Deep groove ball bearings</t>
  </si>
  <si>
    <t>1.3.1.8.4.2</t>
  </si>
  <si>
    <t>41212_outer_ring</t>
  </si>
  <si>
    <t>BB1_001_101_or-Deep groove ball bearings</t>
  </si>
  <si>
    <t>1.3.1.8.4.3</t>
  </si>
  <si>
    <t>41211_inner_ring</t>
  </si>
  <si>
    <t>BB1_001_101_ir-Deep groove ball bearings</t>
  </si>
  <si>
    <t>1.3.1.8.5</t>
  </si>
  <si>
    <t>4122_radial_shaft_seal_SKF_36X47X7 HMSA10 RG</t>
  </si>
  <si>
    <t>SAA_001-Radial shaft seals for general industrial applications</t>
  </si>
  <si>
    <t>1.3.1.9</t>
  </si>
  <si>
    <t>4140_reduction_seal</t>
  </si>
  <si>
    <t>1.3.1.9.1</t>
  </si>
  <si>
    <t>4143_seal_FBL3002-K1</t>
  </si>
  <si>
    <t>FBL3002-Mink Flex-System</t>
  </si>
  <si>
    <t>1.3.1.9.2</t>
  </si>
  <si>
    <t>4141_part_1</t>
  </si>
  <si>
    <t>Steel, Alloy</t>
  </si>
  <si>
    <t>1.3.1.9.3</t>
  </si>
  <si>
    <t>4142_part_2</t>
  </si>
  <si>
    <t>1.3.1.10</t>
  </si>
  <si>
    <t>411_housing</t>
  </si>
  <si>
    <t>1.3.1.11</t>
  </si>
  <si>
    <t>41B_timing_belt_340x10</t>
  </si>
  <si>
    <t>1.3.1.12</t>
  </si>
  <si>
    <t>419_belt_pulley_D14-575388</t>
  </si>
  <si>
    <t>1.3.1.13</t>
  </si>
  <si>
    <t>41D_belt_pulley_D7-575457</t>
  </si>
  <si>
    <t>1.3.1.14</t>
  </si>
  <si>
    <t>41E_cover_drivetrain</t>
  </si>
  <si>
    <t>1.3.2</t>
  </si>
  <si>
    <t>420_powder_outlet</t>
  </si>
  <si>
    <t>1.3.2.1</t>
  </si>
  <si>
    <t>423_powder_chute_back_front</t>
  </si>
  <si>
    <t>1.3.2.2</t>
  </si>
  <si>
    <t>42B_clamp_ISO_K_DN100_320BKL250</t>
  </si>
  <si>
    <t>1.3.2.3</t>
  </si>
  <si>
    <t>42A_clamping_ring_ISO_KF_DN40_120BSR040</t>
  </si>
  <si>
    <t>1.3.2.4</t>
  </si>
  <si>
    <t>425_powder_chute_left</t>
  </si>
  <si>
    <t>1.3.2.5</t>
  </si>
  <si>
    <t>424_powder_chute_right</t>
  </si>
  <si>
    <t>1.3.2.6</t>
  </si>
  <si>
    <t>428_pipe_ISO_KF_DN40</t>
  </si>
  <si>
    <t>1.3.2.7</t>
  </si>
  <si>
    <t>421_weld_flange_top</t>
  </si>
  <si>
    <t>1.3.2.8</t>
  </si>
  <si>
    <t>422_weld_flange_ISO_K_DN100</t>
  </si>
  <si>
    <t>1.3.2.9</t>
  </si>
  <si>
    <t>429_powder_container_10_liter</t>
  </si>
  <si>
    <t>1.3.2.10</t>
  </si>
  <si>
    <t>427_reduction_ISO_K_DN100_KF_DN40</t>
  </si>
  <si>
    <t>1.3.2.11</t>
  </si>
  <si>
    <t>426_flexible_pipe_ISO_K_DN100_320SWN100-0250</t>
  </si>
  <si>
    <t>1.4</t>
  </si>
  <si>
    <t>60_recoater</t>
  </si>
  <si>
    <t>1.4.1</t>
  </si>
  <si>
    <t>ISO 4032 - M4</t>
  </si>
  <si>
    <t>611_nut_ISO 4032 - M4</t>
  </si>
  <si>
    <t>Hex Nut</t>
  </si>
  <si>
    <t>Stainless Steel, 440C</t>
  </si>
  <si>
    <t>1.4.2</t>
  </si>
  <si>
    <t>DIN 7991 - M5  x  30</t>
  </si>
  <si>
    <t>61B_countersunk_bolt_DIN 7991 - M5x30</t>
  </si>
  <si>
    <t>Countersunk Screw</t>
  </si>
  <si>
    <t>1.4.3</t>
  </si>
  <si>
    <t>6K_fixed_bearing_mount</t>
  </si>
  <si>
    <t>Aluminum 6061, Welded</t>
  </si>
  <si>
    <t>1.4.4</t>
  </si>
  <si>
    <t>DIN 471 - 10 x 1</t>
  </si>
  <si>
    <t>65_retaining_ring_DIN 471 - 10x1</t>
  </si>
  <si>
    <t>Spring Retaining Ring</t>
  </si>
  <si>
    <t>1.4.5</t>
  </si>
  <si>
    <t>DIN 912 - M4 x 16</t>
  </si>
  <si>
    <t>612_bolt_DIN 912 - M4x0,7x16x14,25</t>
  </si>
  <si>
    <t>Cylinder Head Cap Screw</t>
  </si>
  <si>
    <t>1.4.6</t>
  </si>
  <si>
    <t>DIN 912 - M5 x 25</t>
  </si>
  <si>
    <t>617_bolt_DIN 912 - M5x0,8x25x23</t>
  </si>
  <si>
    <t>1.4.7</t>
  </si>
  <si>
    <t>6D_rod_sleeve</t>
  </si>
  <si>
    <t>1.4.8</t>
  </si>
  <si>
    <t>6C0_scraper_blade</t>
  </si>
  <si>
    <t>1.4.8.1</t>
  </si>
  <si>
    <t>6C3_blade_mount_part_2</t>
  </si>
  <si>
    <t>1.4.8.2</t>
  </si>
  <si>
    <t>DIN 7991 - M4  x  12</t>
  </si>
  <si>
    <t>6C4_countersunk_bolt_DIN 7991 - M4x12</t>
  </si>
  <si>
    <t>Senkschraube</t>
  </si>
  <si>
    <t>1.4.8.3</t>
  </si>
  <si>
    <t>6C5_blade_extension</t>
  </si>
  <si>
    <t>1.4.8.4</t>
  </si>
  <si>
    <t>6C2_blade_mount_part_1</t>
  </si>
  <si>
    <t>1.4.8.5</t>
  </si>
  <si>
    <t>6C1_blade</t>
  </si>
  <si>
    <t>1.4.9</t>
  </si>
  <si>
    <t>DIN 912 - M6 x 35</t>
  </si>
  <si>
    <t>61A_bolt_DIN 912 - M6x1x35x24</t>
  </si>
  <si>
    <t>1.4.10</t>
  </si>
  <si>
    <t>DIN 912 - M6 x 10</t>
  </si>
  <si>
    <t>616_bolt_DIN 912 - M6x1x10x7,5</t>
  </si>
  <si>
    <t>1.4.11</t>
  </si>
  <si>
    <t>6O_belt_pulley_GT2_8mm_20_teeth</t>
  </si>
  <si>
    <t>1.4.12</t>
  </si>
  <si>
    <t>66_plate_front</t>
  </si>
  <si>
    <t>1.4.13</t>
  </si>
  <si>
    <t>68_convex_crowned_shaft</t>
  </si>
  <si>
    <t>1.4.14</t>
  </si>
  <si>
    <t>DIN 912 - M4 x 8</t>
  </si>
  <si>
    <t>613_bolt_DIN 912 - M4x0,7x8x6,25</t>
  </si>
  <si>
    <t>1.4.15</t>
  </si>
  <si>
    <t>ISO 4017 - M6 x 12</t>
  </si>
  <si>
    <t>614_bolt_DIN EN ISO 4017 - M6x12</t>
  </si>
  <si>
    <t>Hex-Head Bolt</t>
  </si>
  <si>
    <t>1.4.16</t>
  </si>
  <si>
    <t>DIN 625 SKF - SKF 61800</t>
  </si>
  <si>
    <t>62_bearing_DIN 625 SKF - SKF 61800</t>
  </si>
  <si>
    <t>Single row ball bearings SKF</t>
  </si>
  <si>
    <t>1.4.17</t>
  </si>
  <si>
    <t>6W_connection_linear_guide_back</t>
  </si>
  <si>
    <t>Stainless Steel, Austenitic</t>
  </si>
  <si>
    <t>1.4.18</t>
  </si>
  <si>
    <t>618_countersunk_bolt_DIN 7991 - M4x12</t>
  </si>
  <si>
    <t>1.4.19</t>
  </si>
  <si>
    <t>DIN 471 - 8 x 0,8</t>
  </si>
  <si>
    <t>64_retaining_ring_DIN 471 - 8x0,8</t>
  </si>
  <si>
    <t>1.4.20</t>
  </si>
  <si>
    <t>6A_conveyor_belt</t>
  </si>
  <si>
    <t>1.4.21</t>
  </si>
  <si>
    <t>DIN 912 - M4 x 12</t>
  </si>
  <si>
    <t>615_bolt_DIN 912 - M4x0,7x12x10,25</t>
  </si>
  <si>
    <t>1.4.22</t>
  </si>
  <si>
    <t>69_deflection_shaft</t>
  </si>
  <si>
    <t>1.4.23</t>
  </si>
  <si>
    <t>6N0_linear_guide_back</t>
  </si>
  <si>
    <t>1.4.23.1</t>
  </si>
  <si>
    <t>6N1_carriage_LEFS32REA-600N</t>
  </si>
  <si>
    <t>1.4.23.2</t>
  </si>
  <si>
    <t>6N2_rail_LEFS32REA-600N</t>
  </si>
  <si>
    <t>1.4.24</t>
  </si>
  <si>
    <t>6U_belt_pulley_motor_GT2_Bore6p35_20_teeth</t>
  </si>
  <si>
    <t>1.4.25</t>
  </si>
  <si>
    <t>6H0_powder_chute</t>
  </si>
  <si>
    <t>1.4.25.1</t>
  </si>
  <si>
    <t>6H1_powder_chute</t>
  </si>
  <si>
    <t>1.4.25.2</t>
  </si>
  <si>
    <t>6H2_seal_top</t>
  </si>
  <si>
    <t>Rubber, Silicone</t>
  </si>
  <si>
    <t>1.4.25.3</t>
  </si>
  <si>
    <t>6H3_brush_seal_bottom</t>
  </si>
  <si>
    <t>1.4.26</t>
  </si>
  <si>
    <t>6L_floating_bearing_mount</t>
  </si>
  <si>
    <t>1.4.27</t>
  </si>
  <si>
    <t>6P_belt_pulley_without_teeth</t>
  </si>
  <si>
    <t>1.4.28</t>
  </si>
  <si>
    <t>6S0_motor_mount</t>
  </si>
  <si>
    <t>1.4.28.1</t>
  </si>
  <si>
    <t>6S2_support_2</t>
  </si>
  <si>
    <t>1.4.28.2</t>
  </si>
  <si>
    <t>6S1_support_1</t>
  </si>
  <si>
    <t>Stahl-1</t>
  </si>
  <si>
    <t>1.4.28.3</t>
  </si>
  <si>
    <t>6S3_bent_part</t>
  </si>
  <si>
    <t>1.4.29</t>
  </si>
  <si>
    <t>6E0_powder_container</t>
  </si>
  <si>
    <t>1.4.29.1</t>
  </si>
  <si>
    <t>6E4_plate_back</t>
  </si>
  <si>
    <t>1.4.29.2</t>
  </si>
  <si>
    <t>6E3_plate_front</t>
  </si>
  <si>
    <t>1.4.29.3</t>
  </si>
  <si>
    <t>6E1_plate_left</t>
  </si>
  <si>
    <t>1.4.29.4</t>
  </si>
  <si>
    <t>6E2_plate_right</t>
  </si>
  <si>
    <t>1.4.30</t>
  </si>
  <si>
    <t>6T_motor_Nema_23</t>
  </si>
  <si>
    <t>1.4.31</t>
  </si>
  <si>
    <t>6Q_mount_belt_pulley_without_teeth</t>
  </si>
  <si>
    <t>1.4.32</t>
  </si>
  <si>
    <t>DIN 471 - 5 x 0,6</t>
  </si>
  <si>
    <t>63_retaining_ring_DIN 471 - 5x0,6</t>
  </si>
  <si>
    <t>1.4.33</t>
  </si>
  <si>
    <t>DIN 7991 - M5  x  20</t>
  </si>
  <si>
    <t>619_countersunk_bolt_DIN 7991 - M5x20</t>
  </si>
  <si>
    <t>1.4.34</t>
  </si>
  <si>
    <t>67_plate_back</t>
  </si>
  <si>
    <t>1.4.35</t>
  </si>
  <si>
    <t>6I_clamping_plate_front</t>
  </si>
  <si>
    <t>1.4.36</t>
  </si>
  <si>
    <t>6X_connection_linear_guide_top</t>
  </si>
  <si>
    <t>1.4.37</t>
  </si>
  <si>
    <t>6B0_scraper_blade_counterpart</t>
  </si>
  <si>
    <t>1.4.37.1</t>
  </si>
  <si>
    <t>6B2_ceramic_pole</t>
  </si>
  <si>
    <t>1.4.37.2</t>
  </si>
  <si>
    <t>6B3_glue</t>
  </si>
  <si>
    <t>1.4.37.3</t>
  </si>
  <si>
    <t>6B1_gliding_surface</t>
  </si>
  <si>
    <t>1.4.38</t>
  </si>
  <si>
    <t>6J_clamping_plate_back</t>
  </si>
  <si>
    <t>1.4.39</t>
  </si>
  <si>
    <t>6Y_spacer_11_mm</t>
  </si>
  <si>
    <t>1.4.40</t>
  </si>
  <si>
    <t>6M0_linear_guide_top</t>
  </si>
  <si>
    <t>1.4.40.1</t>
  </si>
  <si>
    <t>6M1_carriage_LEFG32-S-600N</t>
  </si>
  <si>
    <t>1.4.40.2</t>
  </si>
  <si>
    <t>6M2_rail_LEFG32-S-600N</t>
  </si>
  <si>
    <t>1.4.41</t>
  </si>
  <si>
    <t>6R_belt</t>
  </si>
  <si>
    <t>1.4.42</t>
  </si>
  <si>
    <t>6V_connection_motor_mount</t>
  </si>
  <si>
    <t>1.4.43</t>
  </si>
  <si>
    <t>6G_powder_container_extension_front</t>
  </si>
  <si>
    <t>1.4.44</t>
  </si>
  <si>
    <t>6F_powder_container_extension_back</t>
  </si>
  <si>
    <t>1.5</t>
  </si>
  <si>
    <t>70_dummy_laser_beam_source</t>
  </si>
  <si>
    <t>1.6</t>
  </si>
  <si>
    <t>20_z_axis</t>
  </si>
  <si>
    <t>1.6.1</t>
  </si>
  <si>
    <t>290_back</t>
  </si>
  <si>
    <t>1.6.1.1</t>
  </si>
  <si>
    <t>291_back_plate</t>
  </si>
  <si>
    <t>1.6.2</t>
  </si>
  <si>
    <t>24_seal_left_right</t>
  </si>
  <si>
    <t>1.6.3</t>
  </si>
  <si>
    <t>260_left_side</t>
  </si>
  <si>
    <t>1.6.3.1</t>
  </si>
  <si>
    <t>262_clamp_ISO_KF_DN40</t>
  </si>
  <si>
    <t>1.6.3.2</t>
  </si>
  <si>
    <t>261_left_side_plate</t>
  </si>
  <si>
    <t>1.6.4</t>
  </si>
  <si>
    <t>22_seal_bottom</t>
  </si>
  <si>
    <t>1.6.5</t>
  </si>
  <si>
    <t>270_right_side</t>
  </si>
  <si>
    <t>1.6.5.1</t>
  </si>
  <si>
    <t>276_clamp_ISO_KF_DN16</t>
  </si>
  <si>
    <t>1.6.5.2</t>
  </si>
  <si>
    <t>275_blind_flange_ISO_KF_DN16</t>
  </si>
  <si>
    <t>1.6.5.3</t>
  </si>
  <si>
    <t>273_centering_ring_ISO_KF_DN16</t>
  </si>
  <si>
    <t>1.6.5.4</t>
  </si>
  <si>
    <t>271_right_side_plate</t>
  </si>
  <si>
    <t>1.6.5.5</t>
  </si>
  <si>
    <t>272_fluid_feedthrough</t>
  </si>
  <si>
    <t>1.6.5.6</t>
  </si>
  <si>
    <t>274_electricity_feedthrough</t>
  </si>
  <si>
    <t>1.6.6</t>
  </si>
  <si>
    <t>23_seal_back_front</t>
  </si>
  <si>
    <t>1.6.7</t>
  </si>
  <si>
    <t>2A0_z_axis_inside</t>
  </si>
  <si>
    <t>1.6.7.1</t>
  </si>
  <si>
    <t>DIN 912 - M5 x 30</t>
  </si>
  <si>
    <t>2AV1_DIN 912 - M5x0,8x30x22</t>
  </si>
  <si>
    <t>1.6.7.2</t>
  </si>
  <si>
    <t>DIN 912 - M5 x 8</t>
  </si>
  <si>
    <t>2AV4_DIN 912 - M5x0,8x8x6</t>
  </si>
  <si>
    <t>1.6.7.3</t>
  </si>
  <si>
    <t>DIN 912 - M8 x 1 x 25</t>
  </si>
  <si>
    <t>2AV8_DIN 912 - M8x1x25x22,5</t>
  </si>
  <si>
    <t>1.6.7.4</t>
  </si>
  <si>
    <t>DIN 912 - M8 x 35</t>
  </si>
  <si>
    <t>2AV2_DIN 912 - M8x1,25x35x31,875</t>
  </si>
  <si>
    <t>1.6.7.5</t>
  </si>
  <si>
    <t>DIN 912 - M8 x 40</t>
  </si>
  <si>
    <t>2AV3_DIN 912 - M8x1,25x40x28</t>
  </si>
  <si>
    <t>1.6.7.6</t>
  </si>
  <si>
    <t>DIN 912 - M8 x 50</t>
  </si>
  <si>
    <t>2AV5_DIN 912 - M8x1,25x50x28</t>
  </si>
  <si>
    <t>1.6.7.7</t>
  </si>
  <si>
    <t>2AE_glass_scale_slide</t>
  </si>
  <si>
    <t>1.6.7.8</t>
  </si>
  <si>
    <t>DIN 912 - M4 x 30</t>
  </si>
  <si>
    <t>2AV6_DIN 912 - M4x0,7x30x20</t>
  </si>
  <si>
    <t>1.6.7.9</t>
  </si>
  <si>
    <t>2AVB_DIN 912 - M6x1x35x24</t>
  </si>
  <si>
    <t>1.6.7.10</t>
  </si>
  <si>
    <t>DIN 912 - M8 x 20</t>
  </si>
  <si>
    <t>2AVC_DIN 912 - M8x1,25x20x16,875</t>
  </si>
  <si>
    <t>1.6.7.11</t>
  </si>
  <si>
    <t>2AK0_lifting_mechanism</t>
  </si>
  <si>
    <t>1.6.7.11.1</t>
  </si>
  <si>
    <t>2AK1_kinematic_bar</t>
  </si>
  <si>
    <t>1.6.7.12</t>
  </si>
  <si>
    <t>2AS_end_switch_sensor_bottom</t>
  </si>
  <si>
    <t>Allgemein</t>
  </si>
  <si>
    <t>1.6.7.13</t>
  </si>
  <si>
    <t>2AM0_elastomer_jaw_coupling_GN 2240-30-B8-14-AL-WS</t>
  </si>
  <si>
    <t>1.6.7.13.1</t>
  </si>
  <si>
    <t>2AM2_part_2</t>
  </si>
  <si>
    <t>PART-_Elastomer jaw coupling GN 2240-30-B8-14-AL-WS-2-DESC</t>
  </si>
  <si>
    <t>1.6.7.13.2</t>
  </si>
  <si>
    <t>2AM1_part_1</t>
  </si>
  <si>
    <t>PART-_Elastomer jaw coupling GN 2240-30-B8-14-AL-WS-1-DESC</t>
  </si>
  <si>
    <t>1.6.7.14</t>
  </si>
  <si>
    <t>DIN 912 - M4 x 25</t>
  </si>
  <si>
    <t>2AV7_DIN 912 - M4x0,7x25x23,25</t>
  </si>
  <si>
    <t>1.6.7.15</t>
  </si>
  <si>
    <t>2AR_end_switch_sensor_top</t>
  </si>
  <si>
    <t>1.6.7.16</t>
  </si>
  <si>
    <t>2A4_slide_HGL15CA2R600Z0H_part_2</t>
  </si>
  <si>
    <t>PART-HGL15CA2R600Z0H_FILE_2-DESC</t>
  </si>
  <si>
    <t>1.6.7.17</t>
  </si>
  <si>
    <t>DIN 912 - M4 x 20</t>
  </si>
  <si>
    <t>2AVA_DIN 912 - M4x0,7x20x18,25</t>
  </si>
  <si>
    <t>1.6.7.18</t>
  </si>
  <si>
    <t>2AG_cover_plate</t>
  </si>
  <si>
    <t>1.6.7.19</t>
  </si>
  <si>
    <t>DIN 912 - M6 x 16</t>
  </si>
  <si>
    <t>2AV9_DIN 912 - M6x1x16x13,5</t>
  </si>
  <si>
    <t>1.6.7.20</t>
  </si>
  <si>
    <t>2AL0_motor_gearbox</t>
  </si>
  <si>
    <t>1.6.7.20.1</t>
  </si>
  <si>
    <t>2AL20_motor_80MPF5_500D114_01</t>
  </si>
  <si>
    <t>1.6.7.20.1.1</t>
  </si>
  <si>
    <t>2AL210_motor_80MPF5.500D114-01_1</t>
  </si>
  <si>
    <t>PART--DESC</t>
  </si>
  <si>
    <t>1.6.7.20.1.1.1</t>
  </si>
  <si>
    <t>2AL211_motor</t>
  </si>
  <si>
    <t>PART-80MPF5.500D114-01_2-DESC</t>
  </si>
  <si>
    <t>1.6.7.20.2</t>
  </si>
  <si>
    <t>2AL1_gearbox_8GA40-060--025S2PF</t>
  </si>
  <si>
    <t>PART-8GA40-060--025S2PF-DESC</t>
  </si>
  <si>
    <t>1.6.7.21</t>
  </si>
  <si>
    <t>2AA_left_support_plate</t>
  </si>
  <si>
    <t>1.6.7.22</t>
  </si>
  <si>
    <t>2AQ_inductive_sensor_mount</t>
  </si>
  <si>
    <t>1.6.7.23</t>
  </si>
  <si>
    <t>2A1_bottom</t>
  </si>
  <si>
    <t>1.6.7.24</t>
  </si>
  <si>
    <t>2AJ0_axis</t>
  </si>
  <si>
    <t>1.6.7.24.1</t>
  </si>
  <si>
    <t>2AJ1_axis</t>
  </si>
  <si>
    <t>1.6.7.25</t>
  </si>
  <si>
    <t>2A2_back_plate</t>
  </si>
  <si>
    <t>1.6.7.26</t>
  </si>
  <si>
    <t>2AH_connection_mount</t>
  </si>
  <si>
    <t>1.6.7.27</t>
  </si>
  <si>
    <t>2AU0_inductive_sensor_top_BALLUFF BES 516-356-S4-C_2</t>
  </si>
  <si>
    <t>1.6.7.27.1</t>
  </si>
  <si>
    <t>2AU2_nut_M12x1</t>
  </si>
  <si>
    <t>Nut M12 x 1</t>
  </si>
  <si>
    <t>1.6.7.27.2</t>
  </si>
  <si>
    <t>2AU3_sensor</t>
  </si>
  <si>
    <t>BALLUFF BES 516-356-S4-C_1</t>
  </si>
  <si>
    <t>1.6.7.28</t>
  </si>
  <si>
    <t>2A8_left_distance_piece</t>
  </si>
  <si>
    <t>1.6.7.29</t>
  </si>
  <si>
    <t>2A9_right_distance_piece</t>
  </si>
  <si>
    <t>1.6.7.30</t>
  </si>
  <si>
    <t>2A50_linear_guide_HGL15CA2R600Z0H</t>
  </si>
  <si>
    <t>1.6.7.30.1</t>
  </si>
  <si>
    <t>2A51_linear_guide_HGL15CA2R600Z0H</t>
  </si>
  <si>
    <t>1.6.7.31</t>
  </si>
  <si>
    <t>2AB_right_support_plate</t>
  </si>
  <si>
    <t>1.6.7.32</t>
  </si>
  <si>
    <t>2A3_slide_HGL15CA2R600Z0H_part_1</t>
  </si>
  <si>
    <t>1.6.7.33</t>
  </si>
  <si>
    <t>2AC0_bottom_axis_bearing_SLA10</t>
  </si>
  <si>
    <t>1.6.7.33.1</t>
  </si>
  <si>
    <t>2AC9_part_9</t>
  </si>
  <si>
    <t>1.6.7.33.2</t>
  </si>
  <si>
    <t>2AC6_part_6</t>
  </si>
  <si>
    <t>1.6.7.33.3</t>
  </si>
  <si>
    <t>2AC8_part_8</t>
  </si>
  <si>
    <t>1.6.7.33.4</t>
  </si>
  <si>
    <t>2AC2_part_2</t>
  </si>
  <si>
    <t>1.6.7.33.5</t>
  </si>
  <si>
    <t>2AC1_part_1</t>
  </si>
  <si>
    <t>PART-SLA10_FILE_8-DESC</t>
  </si>
  <si>
    <t>1.6.7.33.6</t>
  </si>
  <si>
    <t>2AC7_part_7</t>
  </si>
  <si>
    <t>1.6.7.33.7</t>
  </si>
  <si>
    <t>2AC4_part_4</t>
  </si>
  <si>
    <t>1.6.7.33.8</t>
  </si>
  <si>
    <t>2AC5_part_5</t>
  </si>
  <si>
    <t>1.6.7.33.9</t>
  </si>
  <si>
    <t>2AC3_part_3</t>
  </si>
  <si>
    <t>1.6.7.34</t>
  </si>
  <si>
    <t>2AF0_glass_scale_K+C_S5_500</t>
  </si>
  <si>
    <t>1.6.7.34.1</t>
  </si>
  <si>
    <t>2AF1_track</t>
  </si>
  <si>
    <t>1.6.7.35</t>
  </si>
  <si>
    <t>2AP0_build_platform_mount</t>
  </si>
  <si>
    <t>1.6.7.35.1</t>
  </si>
  <si>
    <t>2API_build_platform</t>
  </si>
  <si>
    <t>1.6.7.35.2</t>
  </si>
  <si>
    <t>DIN EN ISO 4016 - M6x40</t>
  </si>
  <si>
    <t>2AP8_bolt_DIN EN ISO 4016 - M6x40</t>
  </si>
  <si>
    <t>Hexagon head bolts. Product grade C</t>
  </si>
  <si>
    <t>1.6.7.35.3</t>
  </si>
  <si>
    <t>2AP6_inner_seal</t>
  </si>
  <si>
    <t>1.6.7.35.4</t>
  </si>
  <si>
    <t>DIN 7991 - M3  x  8</t>
  </si>
  <si>
    <t>2AP4_bolt_DIN 7991 - M3x8</t>
  </si>
  <si>
    <t>1.6.7.35.5</t>
  </si>
  <si>
    <t>DIN 912 - M6 x 20</t>
  </si>
  <si>
    <t>2AP5_bolt_DIN 912 - M6x1x20x17,5</t>
  </si>
  <si>
    <t>1.6.7.35.6</t>
  </si>
  <si>
    <t>2AP1_spring_plate</t>
  </si>
  <si>
    <t>1.6.7.35.7</t>
  </si>
  <si>
    <t>2APE_spacer_sleeve</t>
  </si>
  <si>
    <t>1.6.7.35.8</t>
  </si>
  <si>
    <t>2APB_spring_block_back</t>
  </si>
  <si>
    <t>1.6.7.35.9</t>
  </si>
  <si>
    <t>2APC_spring_block_left</t>
  </si>
  <si>
    <t>1.6.7.35.10</t>
  </si>
  <si>
    <t>2APF_shim_disk</t>
  </si>
  <si>
    <t>1.6.7.35.11</t>
  </si>
  <si>
    <t>2AP6_outer_seal</t>
  </si>
  <si>
    <t>1.6.7.35.12</t>
  </si>
  <si>
    <t>2APD_temperature_sensor</t>
  </si>
  <si>
    <t>1.6.7.35.13</t>
  </si>
  <si>
    <t>2AP7_lifting_platform</t>
  </si>
  <si>
    <t>1.6.7.35.14</t>
  </si>
  <si>
    <t>2APA_spring_block_right</t>
  </si>
  <si>
    <t>1.6.7.35.15</t>
  </si>
  <si>
    <t>2AP3_heating_plate</t>
  </si>
  <si>
    <t>1.6.7.35.16</t>
  </si>
  <si>
    <t>2APH_felt_seal</t>
  </si>
  <si>
    <t>1.6.7.35.17</t>
  </si>
  <si>
    <t>2AP9_spring_block_front</t>
  </si>
  <si>
    <t>1.6.7.35.18</t>
  </si>
  <si>
    <t>2AP2_assembly_plate</t>
  </si>
  <si>
    <t>1.6.7.35.19</t>
  </si>
  <si>
    <t>2APG_pressing_plate</t>
  </si>
  <si>
    <t>1.6.7.36</t>
  </si>
  <si>
    <t>2AN_motor_mount</t>
  </si>
  <si>
    <t>1.6.7.37</t>
  </si>
  <si>
    <t>2AO0_build_platform_guidance</t>
  </si>
  <si>
    <t>1.6.7.37.1</t>
  </si>
  <si>
    <t>2AO2_guidance</t>
  </si>
  <si>
    <t>1.6.7.37.2</t>
  </si>
  <si>
    <t>2AO1_flange</t>
  </si>
  <si>
    <t>1.6.7.38</t>
  </si>
  <si>
    <t>2AI_connection_axis</t>
  </si>
  <si>
    <t>PART-R16-05T3-DEB-401-490-0,023+E1_S21-10+E2_S11-10+MR_E2_FILE_1-DESC</t>
  </si>
  <si>
    <t>1.6.7.39</t>
  </si>
  <si>
    <t>2AT0_inductive_sensor_bottom_BALLUFF BES 516-356-S4-C</t>
  </si>
  <si>
    <t>1.6.7.39.1</t>
  </si>
  <si>
    <t>2AT3_sensor</t>
  </si>
  <si>
    <t>1.6.7.39.2</t>
  </si>
  <si>
    <t>2AT2_nut_M12x1</t>
  </si>
  <si>
    <t>1.6.7.40</t>
  </si>
  <si>
    <t>2AD0_top_axis_bearing_SFA10</t>
  </si>
  <si>
    <t>1.6.7.40.1</t>
  </si>
  <si>
    <t>2ADB_part_B</t>
  </si>
  <si>
    <t>1.6.7.40.2</t>
  </si>
  <si>
    <t>2AD5_part_5</t>
  </si>
  <si>
    <t>1.6.7.40.3</t>
  </si>
  <si>
    <t>2AD2_part_2</t>
  </si>
  <si>
    <t>1.6.7.40.4</t>
  </si>
  <si>
    <t>2AD3_part_3</t>
  </si>
  <si>
    <t>1.6.7.40.5</t>
  </si>
  <si>
    <t>2AD4_part_4</t>
  </si>
  <si>
    <t>1.6.7.40.6</t>
  </si>
  <si>
    <t>2AD7_part_7</t>
  </si>
  <si>
    <t>1.6.7.40.7</t>
  </si>
  <si>
    <t>2AD1_part_1</t>
  </si>
  <si>
    <t>PART-SFA10_FILE_11-DESC</t>
  </si>
  <si>
    <t>1.6.7.40.8</t>
  </si>
  <si>
    <t>2ADA_part_A</t>
  </si>
  <si>
    <t>1.6.7.40.9</t>
  </si>
  <si>
    <t>2AD9_part_9</t>
  </si>
  <si>
    <t>1.6.7.40.10</t>
  </si>
  <si>
    <t>2AD8_part_8</t>
  </si>
  <si>
    <t>1.6.7.40.11</t>
  </si>
  <si>
    <t>2ADC_part_C</t>
  </si>
  <si>
    <t>1.6.7.40.12</t>
  </si>
  <si>
    <t>2AD6_part_6</t>
  </si>
  <si>
    <t>1.6.7.41</t>
  </si>
  <si>
    <t>2A7_right_plate</t>
  </si>
  <si>
    <t>1.6.7.42</t>
  </si>
  <si>
    <t>2A6_left_plate</t>
  </si>
  <si>
    <t>1.6.8</t>
  </si>
  <si>
    <t>280_front</t>
  </si>
  <si>
    <t>1.6.8.1</t>
  </si>
  <si>
    <t>281_front_plate</t>
  </si>
  <si>
    <t>1.6.9</t>
  </si>
  <si>
    <t>25_frame_z_axis</t>
  </si>
  <si>
    <t>1.6.10</t>
  </si>
  <si>
    <t>21_seal_top</t>
  </si>
  <si>
    <t>1.7</t>
  </si>
  <si>
    <t>50_dummy_scanner</t>
  </si>
  <si>
    <t>1.8</t>
  </si>
  <si>
    <t>80_vacuum_system</t>
  </si>
  <si>
    <t>1.8.1</t>
  </si>
  <si>
    <t>8B_angle_pipe_ISO_KF_DN40</t>
  </si>
  <si>
    <t>1.8.2</t>
  </si>
  <si>
    <t>83_clamping_ring_ISO_KF_DN40_120BSR040</t>
  </si>
  <si>
    <t>1.8.3</t>
  </si>
  <si>
    <t>84_valve</t>
  </si>
  <si>
    <t>1.8.4</t>
  </si>
  <si>
    <t>82_seal_ISO_KF_DN40</t>
  </si>
  <si>
    <t>1.8.5</t>
  </si>
  <si>
    <t>85_filter_ISO_KF_DN40_CSL-357y2-KF</t>
  </si>
  <si>
    <t>1.8.6</t>
  </si>
  <si>
    <t>8A_seal_ISO_KF_DN16</t>
  </si>
  <si>
    <t>1.8.7</t>
  </si>
  <si>
    <t>8D0_flexible_pipe</t>
  </si>
  <si>
    <t>1.8.7.1</t>
  </si>
  <si>
    <t>8D1_flexible_pipe_part_1</t>
  </si>
  <si>
    <t>1.8.7.2</t>
  </si>
  <si>
    <t>8D2_flexible_pipe_part_2</t>
  </si>
  <si>
    <t>1.8.8</t>
  </si>
  <si>
    <t>88_pressure_gauge</t>
  </si>
  <si>
    <t>1.8.9</t>
  </si>
  <si>
    <t>81_vacuum_pump_Duo35</t>
  </si>
  <si>
    <t>1.8.10</t>
  </si>
  <si>
    <t>87_reduction_T_pipe_ISO_KF_DN40_DN16</t>
  </si>
  <si>
    <t>1.8.11</t>
  </si>
  <si>
    <t>86_T_pipe_ISO_KF_DN40</t>
  </si>
  <si>
    <t>1.8.12</t>
  </si>
  <si>
    <t>8C0_flexible_pipe</t>
  </si>
  <si>
    <t>1.8.12.1</t>
  </si>
  <si>
    <t>8C1_flexible_pipe</t>
  </si>
  <si>
    <t>1.8.12.2</t>
  </si>
  <si>
    <t>8C2_end_piece</t>
  </si>
  <si>
    <t>1.8.13</t>
  </si>
  <si>
    <t>89_clamping_ring_ISO_KF_DN16</t>
  </si>
  <si>
    <t>1.9</t>
  </si>
  <si>
    <t>30_gas_circulation_system</t>
  </si>
  <si>
    <t>1.9.1</t>
  </si>
  <si>
    <t>3J_pipe_ISO_K_DN63_320RZS063</t>
  </si>
  <si>
    <t>1.9.2</t>
  </si>
  <si>
    <t>35_clamping_ring_ISO_KF_DN50_120BSR050</t>
  </si>
  <si>
    <t>1.9.3</t>
  </si>
  <si>
    <t>3A_angle_pipe_ISO_K_DN63_320RRB063-90</t>
  </si>
  <si>
    <t>1.9.4</t>
  </si>
  <si>
    <t>3R0_seal_with_clamps_wall</t>
  </si>
  <si>
    <t>1.9.4.1</t>
  </si>
  <si>
    <t>3R1_clamp_ISO_K_DN63_350BPD100</t>
  </si>
  <si>
    <t>1.9.4.2</t>
  </si>
  <si>
    <t>3R2_seal_ISO_K_DN63_311ZRA063</t>
  </si>
  <si>
    <t>1.9.5</t>
  </si>
  <si>
    <t>330_seal_with_clamps</t>
  </si>
  <si>
    <t>1.9.5.1</t>
  </si>
  <si>
    <t>332_seal_ISO_K_DN63_311ZRA063</t>
  </si>
  <si>
    <t>1.9.5.2</t>
  </si>
  <si>
    <t>331_clamp_ISO_K_DN63_320BKL250</t>
  </si>
  <si>
    <t>1.9.6</t>
  </si>
  <si>
    <t>37_reduction_ISO_K_DN63_KF_DN50_320RRG063-050-40</t>
  </si>
  <si>
    <t>1.9.7</t>
  </si>
  <si>
    <t>38_T_pipe_ISO_K_DN63_320RTS063</t>
  </si>
  <si>
    <t>1.9.8</t>
  </si>
  <si>
    <t>3V_gas_in_top</t>
  </si>
  <si>
    <t>1.9.9</t>
  </si>
  <si>
    <t>3F_clamping_ring_ISO_KF_DN40_120BSR040</t>
  </si>
  <si>
    <t>1.9.10</t>
  </si>
  <si>
    <t>320_heat_exchanger</t>
  </si>
  <si>
    <t>1.9.10.1</t>
  </si>
  <si>
    <t>323_clamp_ISO_K_DN100_350BPD100</t>
  </si>
  <si>
    <t>1.9.10.2</t>
  </si>
  <si>
    <t>322_reduction_ISO_K_DN100_DN63_320RRK100-063-63</t>
  </si>
  <si>
    <t>1.9.10.3</t>
  </si>
  <si>
    <t>321_heat_exchanger_rv1_17z0z114z04</t>
  </si>
  <si>
    <t>1.9.11</t>
  </si>
  <si>
    <t>36_seal_ISO_KF_DN50</t>
  </si>
  <si>
    <t>1.9.12</t>
  </si>
  <si>
    <t>39_pipe_ISO_K_DN63</t>
  </si>
  <si>
    <t>1.9.13</t>
  </si>
  <si>
    <t>3Q0_connection_chamber</t>
  </si>
  <si>
    <t>1.9.13.1</t>
  </si>
  <si>
    <t>3Q4_clamp_ISO_K_DN100_320BKL250</t>
  </si>
  <si>
    <t>1.9.13.2</t>
  </si>
  <si>
    <t>3Q5_clamp_ISO_K_DN100_350BPD100</t>
  </si>
  <si>
    <t>1.9.13.3</t>
  </si>
  <si>
    <t>3Q2_angle_pipe_ISO_K_DN100_320RRB100-90</t>
  </si>
  <si>
    <t>1.9.13.4</t>
  </si>
  <si>
    <t>3Q3_seal_ISO_K_DN100_311ZRA100</t>
  </si>
  <si>
    <t>1.9.13.5</t>
  </si>
  <si>
    <t>3Q1_pipe_ISO_K_DN100_320RZS100</t>
  </si>
  <si>
    <t>1.9.14</t>
  </si>
  <si>
    <t>3I_pipe_ISO_K_DN63_320RZS063-176</t>
  </si>
  <si>
    <t>1.9.15</t>
  </si>
  <si>
    <t>3P0_cyclone_separator</t>
  </si>
  <si>
    <t>1.9.15.1</t>
  </si>
  <si>
    <t>3P1_cyclone_separator</t>
  </si>
  <si>
    <t>1.9.15.2</t>
  </si>
  <si>
    <t>3P6_powder_container_2_liter</t>
  </si>
  <si>
    <t>1.9.15.3</t>
  </si>
  <si>
    <t>3P2_flange_ISO_K_DN63</t>
  </si>
  <si>
    <t>1.9.15.4</t>
  </si>
  <si>
    <t>3P5_reduction_ISO_K_DN100_DN63_320RRK100-063-63</t>
  </si>
  <si>
    <t>1.9.15.5</t>
  </si>
  <si>
    <t>3P3_valve_ISO_K_DN63_310VEP063-01</t>
  </si>
  <si>
    <t>1.9.15.6</t>
  </si>
  <si>
    <t>3P7_reduction_ISO_K_DN63_KF_DN40</t>
  </si>
  <si>
    <t>1.9.15.7</t>
  </si>
  <si>
    <t>3P4_filter_ISO_K_DN63_CSL-357y2-K</t>
  </si>
  <si>
    <t>1.9.16</t>
  </si>
  <si>
    <t>3U_flow_rectifier</t>
  </si>
  <si>
    <t>1.9.17</t>
  </si>
  <si>
    <t>3S0_gas_out</t>
  </si>
  <si>
    <t>1.9.17.1</t>
  </si>
  <si>
    <t>3S2_mount</t>
  </si>
  <si>
    <t>1.9.17.2</t>
  </si>
  <si>
    <t>3S30_pipe</t>
  </si>
  <si>
    <t>1.9.17.2.1</t>
  </si>
  <si>
    <t>3S32_part_2</t>
  </si>
  <si>
    <t>1.9.17.2.2</t>
  </si>
  <si>
    <t>3S34_part_4</t>
  </si>
  <si>
    <t>1.9.17.2.3</t>
  </si>
  <si>
    <t>3S35_part_5</t>
  </si>
  <si>
    <t>1.9.17.2.4</t>
  </si>
  <si>
    <t>3S33_part_3</t>
  </si>
  <si>
    <t>1.9.17.2.5</t>
  </si>
  <si>
    <t>3S31_part_1</t>
  </si>
  <si>
    <t>1.9.17.3</t>
  </si>
  <si>
    <t>3S40_gas_out</t>
  </si>
  <si>
    <t>1.9.17.3.1</t>
  </si>
  <si>
    <t>3S47_part_7</t>
  </si>
  <si>
    <t>1.9.17.3.2</t>
  </si>
  <si>
    <t>3S41_part_1</t>
  </si>
  <si>
    <t>1.9.17.3.3</t>
  </si>
  <si>
    <t>3S44_part_4</t>
  </si>
  <si>
    <t>1.9.17.3.4</t>
  </si>
  <si>
    <t>3S48_part_8</t>
  </si>
  <si>
    <t>1.9.17.3.5</t>
  </si>
  <si>
    <t>3S43_part_3</t>
  </si>
  <si>
    <t>1.9.17.3.6</t>
  </si>
  <si>
    <t>3S42_part_2</t>
  </si>
  <si>
    <t>1.9.17.3.7</t>
  </si>
  <si>
    <t>3S46_part_6</t>
  </si>
  <si>
    <t>1.9.17.3.8</t>
  </si>
  <si>
    <t>3S45_part_5</t>
  </si>
  <si>
    <t>1.9.17.4</t>
  </si>
  <si>
    <t>3S1_flange</t>
  </si>
  <si>
    <t>1.9.18</t>
  </si>
  <si>
    <t>3C_reduction_T_pipe_ISO_K_DN63_KF_DN40_320RTR063-040</t>
  </si>
  <si>
    <t>1.9.19</t>
  </si>
  <si>
    <t>3G_flexible_pipe_ISO_K_DN63_320SFK063-130</t>
  </si>
  <si>
    <t>1.9.20</t>
  </si>
  <si>
    <t>3E_seal_with_filter_ISO_KF_DN40_122ZRS040</t>
  </si>
  <si>
    <t>1.9.21</t>
  </si>
  <si>
    <t>3K_flexible_pipe_ISO_K_DN63_320SWN063-0250</t>
  </si>
  <si>
    <t>1.9.22</t>
  </si>
  <si>
    <t>3L_flexible_pipe_ISO_K_DN63_320SWN063-0750</t>
  </si>
  <si>
    <t>1.9.23</t>
  </si>
  <si>
    <t>3M_pipe_ISO_K_DN63_320RZS063_L_218</t>
  </si>
  <si>
    <t>1.9.24</t>
  </si>
  <si>
    <t>3D_ISO_KF_DN40_hose_connection_110ASC040-12</t>
  </si>
  <si>
    <t>1.9.25</t>
  </si>
  <si>
    <t>34_flexible_pipe_ISO_KF_DN50_170SFK050-060</t>
  </si>
  <si>
    <t>1.9.26</t>
  </si>
  <si>
    <t>31_circulation_pump</t>
  </si>
  <si>
    <t>AP214 STEP file</t>
  </si>
  <si>
    <t>1.9.27</t>
  </si>
  <si>
    <t>3T_diffusor</t>
  </si>
  <si>
    <t>1.9.28</t>
  </si>
  <si>
    <t>3H_pipe_ISO_K_DN63</t>
  </si>
  <si>
    <t>1.9.29</t>
  </si>
  <si>
    <t>3N0_flexible_pipe</t>
  </si>
  <si>
    <t>1.9.29.1</t>
  </si>
  <si>
    <t>3N1_curvature_320SWN063</t>
  </si>
  <si>
    <t>1.9.29.2</t>
  </si>
  <si>
    <t>3N2_end_piece_320SWN063</t>
  </si>
  <si>
    <t>1.9.30</t>
  </si>
  <si>
    <t>3O0_flexible_pipe</t>
  </si>
  <si>
    <t>1.9.30.1</t>
  </si>
  <si>
    <t>3O4_end_piece_320SWN063</t>
  </si>
  <si>
    <t>1.9.30.2</t>
  </si>
  <si>
    <t>3O1_curvature_320SWN063</t>
  </si>
  <si>
    <t>1.9.30.3</t>
  </si>
  <si>
    <t>3O2_curvature_320SWN063</t>
  </si>
  <si>
    <t>1.9.30.4</t>
  </si>
  <si>
    <t>3O3_end_piece_320SWN063</t>
  </si>
  <si>
    <t>1.9.31</t>
  </si>
  <si>
    <t>3B_valve_ISO_K_DN63_310VEP063-01</t>
  </si>
  <si>
    <t>Betriebsmittelkennzeichen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</si>
</sst>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5">
    <font>
      <sz val="10.0"/>
      <color rgb="FF000000"/>
      <name val="Calibri"/>
      <scheme val="minor"/>
    </font>
    <font>
      <sz val="6.0"/>
      <color theme="1"/>
      <name val="Tahoma"/>
    </font>
    <font>
      <sz val="8.0"/>
      <color theme="1"/>
      <name val="Tahoma"/>
    </font>
    <font>
      <sz val="6.0"/>
      <color rgb="FF000000"/>
      <name val="Tahoma"/>
    </font>
    <font>
      <sz val="10.0"/>
      <color theme="1"/>
      <name val="Arial"/>
    </font>
    <font>
      <u/>
      <sz val="6.0"/>
      <color rgb="FF0000FF"/>
      <name val="Tahoma"/>
    </font>
    <font>
      <color theme="1"/>
      <name val="Calibri"/>
      <scheme val="minor"/>
    </font>
    <font>
      <u/>
      <sz val="6.0"/>
      <color rgb="FF0000FF"/>
      <name val="Tahoma"/>
    </font>
    <font>
      <u/>
      <color rgb="FF0000FF"/>
    </font>
    <font>
      <u/>
      <sz val="8.0"/>
      <color rgb="FF0000FF"/>
      <name val="Calibri"/>
    </font>
    <font>
      <sz val="8.0"/>
      <color theme="1"/>
      <name val="Calibri"/>
    </font>
    <font>
      <u/>
      <sz val="8.0"/>
      <color rgb="FF0000FF"/>
      <name val="Calibri"/>
    </font>
    <font>
      <sz val="8.0"/>
      <color rgb="FF000000"/>
      <name val="Calibri"/>
    </font>
    <font>
      <u/>
      <color rgb="FF0000FF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center" shrinkToFit="0" vertical="top" wrapText="1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4" numFmtId="0" xfId="0" applyAlignment="1" applyBorder="1" applyFont="1">
      <alignment horizontal="left" shrinkToFit="0" vertical="bottom" wrapText="1"/>
    </xf>
    <xf borderId="1" fillId="0" fontId="5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Font="1"/>
    <xf borderId="1" fillId="0" fontId="1" numFmtId="0" xfId="0" applyAlignment="1" applyBorder="1" applyFont="1">
      <alignment horizontal="left" shrinkToFit="0" vertical="top" wrapText="1"/>
    </xf>
    <xf borderId="1" fillId="0" fontId="3" numFmtId="1" xfId="0" applyAlignment="1" applyBorder="1" applyFont="1" applyNumberFormat="1">
      <alignment horizontal="right" shrinkToFit="1" vertical="top" wrapText="0"/>
    </xf>
    <xf borderId="1" fillId="0" fontId="4" numFmtId="0" xfId="0" applyAlignment="1" applyBorder="1" applyFont="1">
      <alignment horizontal="left" shrinkToFit="0" vertical="bottom" wrapText="1"/>
    </xf>
    <xf borderId="1" fillId="0" fontId="7" numFmtId="0" xfId="0" applyAlignment="1" applyBorder="1" applyFont="1">
      <alignment horizontal="left" shrinkToFit="0" vertical="top" wrapText="1"/>
    </xf>
    <xf borderId="0" fillId="0" fontId="6" numFmtId="164" xfId="0" applyFont="1" applyNumberFormat="1"/>
    <xf borderId="0" fillId="0" fontId="6" numFmtId="0" xfId="0" applyAlignment="1" applyFont="1">
      <alignment shrinkToFit="0" wrapText="0"/>
    </xf>
    <xf borderId="0" fillId="0" fontId="6" numFmtId="164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 vertical="bottom"/>
    </xf>
    <xf borderId="1" fillId="0" fontId="4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 vertical="bottom"/>
    </xf>
    <xf borderId="0" fillId="0" fontId="6" numFmtId="164" xfId="0" applyFont="1" applyNumberFormat="1"/>
    <xf borderId="0" fillId="0" fontId="10" numFmtId="0" xfId="0" applyAlignment="1" applyFont="1">
      <alignment horizontal="left" vertical="bottom"/>
    </xf>
    <xf borderId="0" fillId="0" fontId="6" numFmtId="0" xfId="0" applyAlignment="1" applyFont="1">
      <alignment shrinkToFit="0" wrapText="0"/>
    </xf>
    <xf borderId="0" fillId="0" fontId="6" numFmtId="0" xfId="0" applyAlignment="1" applyFont="1">
      <alignment readingOrder="0"/>
    </xf>
    <xf borderId="0" fillId="0" fontId="6" numFmtId="1" xfId="0" applyFont="1" applyNumberFormat="1"/>
    <xf borderId="0" fillId="0" fontId="10" numFmtId="0" xfId="0" applyAlignment="1" applyFont="1">
      <alignment horizontal="left" vertical="bottom"/>
    </xf>
    <xf borderId="0" fillId="0" fontId="6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center"/>
    </xf>
    <xf borderId="0" fillId="2" fontId="6" numFmtId="0" xfId="0" applyAlignment="1" applyFill="1" applyFont="1">
      <alignment horizontal="center" readingOrder="0"/>
    </xf>
    <xf borderId="0" fillId="0" fontId="13" numFmtId="0" xfId="0" applyAlignment="1" applyFont="1">
      <alignment readingOrder="0" shrinkToFit="0" wrapText="0"/>
    </xf>
    <xf borderId="0" fillId="0" fontId="6" numFmtId="11" xfId="0" applyAlignment="1" applyFont="1" applyNumberFormat="1">
      <alignment horizontal="center" readingOrder="0"/>
    </xf>
    <xf borderId="0" fillId="0" fontId="1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MainTable-Consolidated-style">
      <tableStyleElement dxfId="1" type="headerRow"/>
      <tableStyleElement dxfId="2" type="firstRowStripe"/>
      <tableStyleElement dxfId="3" type="secondRowStripe"/>
    </tableStyle>
    <tableStyle count="3" pivot="0" name="MainTable-Consolidated-style 2">
      <tableStyleElement dxfId="1" type="headerRow"/>
      <tableStyleElement dxfId="2" type="firstRowStripe"/>
      <tableStyleElement dxfId="3" type="secondRowStripe"/>
    </tableStyle>
    <tableStyle count="3" pivot="0" name="Hardwar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895350</xdr:colOff>
      <xdr:row>0</xdr:row>
      <xdr:rowOff>0</xdr:rowOff>
    </xdr:from>
    <xdr:ext cx="552450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305" displayName="Table_1" name="Table_1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MainTable-Consolidate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09:AB320" displayName="Table_2" name="Table_2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MainTable-Consolidated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Z1000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Hardwar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B7B7B7"/>
      </a:lt1>
      <a:dk2>
        <a:srgbClr val="000000"/>
      </a:dk2>
      <a:lt2>
        <a:srgbClr val="B7B7B7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ource.z2data.com/2018/11/28/10/47/11/323/1134134703/2511474080File_331.pdf" TargetMode="External"/><Relationship Id="rId190" Type="http://schemas.openxmlformats.org/officeDocument/2006/relationships/hyperlink" Target="https://automationdistribution.com/b-r-x20bm36-x20-bus-safety-25mm-node-nr-connection/?srsltid=AfmBOoovFL8MHtQrUOCxEcFOQQ81-lYe7RrRDFRBnGC7Ff24dZM9I4QJ" TargetMode="External"/><Relationship Id="rId42" Type="http://schemas.openxmlformats.org/officeDocument/2006/relationships/hyperlink" Target="https://wago.priintcloud.com/datasheets/2002-3292/en_US/5ac24b7886a8e55fac6ce5bf20b42270?attempt=1&amp;signature=5aa73056915faf59f6f54923ff786f06_1g8eluf8r" TargetMode="External"/><Relationship Id="rId41" Type="http://schemas.openxmlformats.org/officeDocument/2006/relationships/hyperlink" Target="https://wago.priintcloud.com/datasheets/2002-3292/en_US/5ac24b7886a8e55fac6ce5bf20b42270?attempt=1&amp;signature=5aa73056915faf59f6f54923ff786f06_1g8eluf8r" TargetMode="External"/><Relationship Id="rId44" Type="http://schemas.openxmlformats.org/officeDocument/2006/relationships/hyperlink" Target="https://wago.priintcloud.com/datasheets/2002-403/en_US/1127adb6ff88709bbaccba59115d214f?attempt=1&amp;signature=1c2897e7731bec43c00f25a700de8472_1g8em1fjh" TargetMode="External"/><Relationship Id="rId194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43" Type="http://schemas.openxmlformats.org/officeDocument/2006/relationships/hyperlink" Target="https://wago.priintcloud.com/datasheets/2002-402/en_US/74de699bae9eac0a95e0f9d629dc6767?attempt=1&amp;signature=2ea8a4a923b7baf47f102150daa222b4_1hssubj3b" TargetMode="External"/><Relationship Id="rId193" Type="http://schemas.openxmlformats.org/officeDocument/2006/relationships/hyperlink" Target="https://automationdistribution.com/b-r-x20dc1976-x20-counter-1x-abr-ttl-250-khz-mon/?srsltid=AfmBOopP00krPpO_ozojYAT9XNhZcNZJzzNfjAkKoZPUBFL0cMyRLky2" TargetMode="External"/><Relationship Id="rId46" Type="http://schemas.openxmlformats.org/officeDocument/2006/relationships/hyperlink" Target="https://wago.priintcloud.com/datasheets/2002-404/en_GG/" TargetMode="External"/><Relationship Id="rId192" Type="http://schemas.openxmlformats.org/officeDocument/2006/relationships/hyperlink" Target="https://www.radwell.com/Buy/B-AND-R/B-AND-R/X20BT9100?campaignid=919808602&amp;adgroupid=45995929197&amp;creative=225201147072&amp;matchtype=&amp;network=g&amp;device=c&amp;keyword=&amp;gad_source=1&amp;gclid=Cj0KCQiAgdC6BhCgARIsAPWNWH1rzK_8i7mV8oUZVO-M0Nw3KTmx2CFqd8p9Ttb2rE4H4aYIXaGaEZgaAqWnEALw_wcB" TargetMode="External"/><Relationship Id="rId45" Type="http://schemas.openxmlformats.org/officeDocument/2006/relationships/hyperlink" Target="https://wago.priintcloud.com/datasheets/2002-403/en_US/1127adb6ff88709bbaccba59115d214f?attempt=1&amp;signature=1c2897e7731bec43c00f25a700de8472_1g8em1fjh" TargetMode="External"/><Relationship Id="rId191" Type="http://schemas.openxmlformats.org/officeDocument/2006/relationships/hyperlink" Target="https://automationdistribution.com/b-r-x20bm36-x20-bus-safety-25mm-node-nr-connection/?srsltid=AfmBOoovFL8MHtQrUOCxEcFOQQ81-lYe7RrRDFRBnGC7Ff24dZM9I4QJ" TargetMode="External"/><Relationship Id="rId48" Type="http://schemas.openxmlformats.org/officeDocument/2006/relationships/hyperlink" Target="https://wago.priintcloud.com/datasheets/2002-409/en_GG/" TargetMode="External"/><Relationship Id="rId187" Type="http://schemas.openxmlformats.org/officeDocument/2006/relationships/hyperlink" Target="https://www.classicautomation.com/Part/x20bm11?srsltid=AfmBOor6cWPNpnnDB5tItJ_vNs9f4BMuPkEB6Y4EXXf3dFwj4lEPjtdl" TargetMode="External"/><Relationship Id="rId47" Type="http://schemas.openxmlformats.org/officeDocument/2006/relationships/hyperlink" Target="https://wago.priintcloud.com/datasheets/2002-407/en_GG/" TargetMode="External"/><Relationship Id="rId186" Type="http://schemas.openxmlformats.org/officeDocument/2006/relationships/hyperlink" Target="https://www.classicautomation.com/Part/x20bm11?srsltid=AfmBOor6cWPNpnnDB5tItJ_vNs9f4BMuPkEB6Y4EXXf3dFwj4lEPjtdl" TargetMode="External"/><Relationship Id="rId185" Type="http://schemas.openxmlformats.org/officeDocument/2006/relationships/hyperlink" Target="https://www.classicautomation.com/Part/x20bm11?srsltid=AfmBOor6cWPNpnnDB5tItJ_vNs9f4BMuPkEB6Y4EXXf3dFwj4lEPjtdl" TargetMode="External"/><Relationship Id="rId49" Type="http://schemas.openxmlformats.org/officeDocument/2006/relationships/hyperlink" Target="https://wago.priintcloud.com/datasheets/2002-409/en_GG/" TargetMode="External"/><Relationship Id="rId184" Type="http://schemas.openxmlformats.org/officeDocument/2006/relationships/hyperlink" Target="https://www.classicautomation.com/Part/x20bm11?srsltid=AfmBOor6cWPNpnnDB5tItJ_vNs9f4BMuPkEB6Y4EXXf3dFwj4lEPjtdl" TargetMode="External"/><Relationship Id="rId189" Type="http://schemas.openxmlformats.org/officeDocument/2006/relationships/hyperlink" Target="https://automationdistribution.com/b-r-x20bm36-x20-bus-safety-25mm-node-nr-connection/?srsltid=AfmBOoovFL8MHtQrUOCxEcFOQQ81-lYe7RrRDFRBnGC7Ff24dZM9I4QJ" TargetMode="External"/><Relationship Id="rId188" Type="http://schemas.openxmlformats.org/officeDocument/2006/relationships/hyperlink" Target="https://www.radwell.com/Buy/B-AND-R/B-AND-R/X20BM13?srsltid=AfmBOoqRQl5RSs_O7jpCXkDDR2mFmYr2y8ygA80JVNL-zoIStPnDCmdk" TargetMode="External"/><Relationship Id="rId31" Type="http://schemas.openxmlformats.org/officeDocument/2006/relationships/hyperlink" Target="https://www.wago.com/global/products/datasheets/Datasheet.pdf?product=2002-2237&amp;lang=en" TargetMode="External"/><Relationship Id="rId30" Type="http://schemas.openxmlformats.org/officeDocument/2006/relationships/hyperlink" Target="https://www.wago.com/global/products/datasheets/Datasheet.pdf?product=2002-2237&amp;lang=en" TargetMode="External"/><Relationship Id="rId33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83" Type="http://schemas.openxmlformats.org/officeDocument/2006/relationships/hyperlink" Target="https://www.classicautomation.com/Part/x20bm11?srsltid=AfmBOor6cWPNpnnDB5tItJ_vNs9f4BMuPkEB6Y4EXXf3dFwj4lEPjtdl" TargetMode="External"/><Relationship Id="rId32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82" Type="http://schemas.openxmlformats.org/officeDocument/2006/relationships/hyperlink" Target="https://www.classicautomation.com/Part/x20bm11?srsltid=AfmBOor6cWPNpnnDB5tItJ_vNs9f4BMuPkEB6Y4EXXf3dFwj4lEPjtdl" TargetMode="External"/><Relationship Id="rId35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81" Type="http://schemas.openxmlformats.org/officeDocument/2006/relationships/hyperlink" Target="https://www.classicautomation.com/Part/x20bm11?srsltid=AfmBOor6cWPNpnnDB5tItJ_vNs9f4BMuPkEB6Y4EXXf3dFwj4lEPjtdl" TargetMode="External"/><Relationship Id="rId34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80" Type="http://schemas.openxmlformats.org/officeDocument/2006/relationships/hyperlink" Target="https://www.classicautomation.com/Part/x20bm11?srsltid=AfmBOor6cWPNpnnDB5tItJ_vNs9f4BMuPkEB6Y4EXXf3dFwj4lEPjtdl" TargetMode="External"/><Relationship Id="rId37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76" Type="http://schemas.openxmlformats.org/officeDocument/2006/relationships/hyperlink" Target="https://www.classicautomation.com/Part/x20bm11?srsltid=AfmBOor6cWPNpnnDB5tItJ_vNs9f4BMuPkEB6Y4EXXf3dFwj4lEPjtdl" TargetMode="External"/><Relationship Id="rId36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75" Type="http://schemas.openxmlformats.org/officeDocument/2006/relationships/hyperlink" Target="https://www.classicautomation.com/Part/x20bm11?srsltid=AfmBOor6cWPNpnnDB5tItJ_vNs9f4BMuPkEB6Y4EXXf3dFwj4lEPjtdl" TargetMode="External"/><Relationship Id="rId39" Type="http://schemas.openxmlformats.org/officeDocument/2006/relationships/hyperlink" Target="https://source.z2data.com/2018/11/28/10/47/11/323/1134134703/2511474080File_331.pdf" TargetMode="External"/><Relationship Id="rId174" Type="http://schemas.openxmlformats.org/officeDocument/2006/relationships/hyperlink" Target="https://www.classicautomation.com/Part/x20bm11?srsltid=AfmBOor6cWPNpnnDB5tItJ_vNs9f4BMuPkEB6Y4EXXf3dFwj4lEPjtdl" TargetMode="External"/><Relationship Id="rId38" Type="http://schemas.openxmlformats.org/officeDocument/2006/relationships/hyperlink" Target="https://wago.priintcloud.com/datasheets/2002-2292/en_US/5ac24b7886a8e55fac6ce5bf20b42270?attempt=1&amp;signature=32d0f7cb483bc8cfed59779b4181a3a2_1g8ejt97j" TargetMode="External"/><Relationship Id="rId173" Type="http://schemas.openxmlformats.org/officeDocument/2006/relationships/hyperlink" Target="https://www.classicautomation.com/Part/x20bm11?srsltid=AfmBOor6cWPNpnnDB5tItJ_vNs9f4BMuPkEB6Y4EXXf3dFwj4lEPjtdl" TargetMode="External"/><Relationship Id="rId179" Type="http://schemas.openxmlformats.org/officeDocument/2006/relationships/hyperlink" Target="https://www.classicautomation.com/Part/x20bm11?srsltid=AfmBOor6cWPNpnnDB5tItJ_vNs9f4BMuPkEB6Y4EXXf3dFwj4lEPjtdl" TargetMode="External"/><Relationship Id="rId178" Type="http://schemas.openxmlformats.org/officeDocument/2006/relationships/hyperlink" Target="https://www.classicautomation.com/Part/x20bm11?srsltid=AfmBOor6cWPNpnnDB5tItJ_vNs9f4BMuPkEB6Y4EXXf3dFwj4lEPjtdl" TargetMode="External"/><Relationship Id="rId177" Type="http://schemas.openxmlformats.org/officeDocument/2006/relationships/hyperlink" Target="https://www.classicautomation.com/Part/x20bm11?srsltid=AfmBOor6cWPNpnnDB5tItJ_vNs9f4BMuPkEB6Y4EXXf3dFwj4lEPjtdl" TargetMode="External"/><Relationship Id="rId20" Type="http://schemas.openxmlformats.org/officeDocument/2006/relationships/hyperlink" Target="https://www.digikey.com/en/products/detail/wago-corporation/2002-2231/13549241" TargetMode="External"/><Relationship Id="rId22" Type="http://schemas.openxmlformats.org/officeDocument/2006/relationships/hyperlink" Target="https://www.digikey.com/en/products/detail/wago-corporation/2002-2231/13549241" TargetMode="External"/><Relationship Id="rId21" Type="http://schemas.openxmlformats.org/officeDocument/2006/relationships/hyperlink" Target="https://www.digikey.com/en/products/detail/wago-corporation/2002-2231/13549241" TargetMode="External"/><Relationship Id="rId24" Type="http://schemas.openxmlformats.org/officeDocument/2006/relationships/hyperlink" Target="https://www.digikey.com/en/products/detail/wago-corporation/2002-2231/13549241" TargetMode="External"/><Relationship Id="rId23" Type="http://schemas.openxmlformats.org/officeDocument/2006/relationships/hyperlink" Target="https://www.digikey.com/en/products/detail/wago-corporation/2002-2231/13549241" TargetMode="External"/><Relationship Id="rId26" Type="http://schemas.openxmlformats.org/officeDocument/2006/relationships/hyperlink" Target="https://www.digikey.com/en/products/detail/wago-corporation/2002-2231/13549241" TargetMode="External"/><Relationship Id="rId25" Type="http://schemas.openxmlformats.org/officeDocument/2006/relationships/hyperlink" Target="https://www.digikey.com/en/products/detail/wago-corporation/2002-2231/13549241" TargetMode="External"/><Relationship Id="rId28" Type="http://schemas.openxmlformats.org/officeDocument/2006/relationships/hyperlink" Target="https://www.digikey.com/en/products/detail/wago-corporation/2002-2237/15556041" TargetMode="External"/><Relationship Id="rId27" Type="http://schemas.openxmlformats.org/officeDocument/2006/relationships/hyperlink" Target="https://www.digikey.com/en/products/detail/wago-corporation/2002-2237/15556041" TargetMode="External"/><Relationship Id="rId29" Type="http://schemas.openxmlformats.org/officeDocument/2006/relationships/hyperlink" Target="https://www.wago.com/global/products/datasheets/Datasheet.pdf?product=2002-2237&amp;lang=en" TargetMode="External"/><Relationship Id="rId11" Type="http://schemas.openxmlformats.org/officeDocument/2006/relationships/hyperlink" Target="https://www.digikey.com/en/products/detail/wago-corporation/2002-1292/13549501?s=N4IgTCBcDa4AxzAWgIxgJwQLoF8g" TargetMode="External"/><Relationship Id="rId10" Type="http://schemas.openxmlformats.org/officeDocument/2006/relationships/hyperlink" Target="https://www.digikey.com/en/products/detail/wago-corporation/2002-1292/13549501?s=N4IgTCBcDa4AxzAWgIxgJwQLoF8g" TargetMode="External"/><Relationship Id="rId13" Type="http://schemas.openxmlformats.org/officeDocument/2006/relationships/hyperlink" Target="https://www.digikey.com/en/products/detail/wago-corporation/2002-1401/13549450" TargetMode="External"/><Relationship Id="rId12" Type="http://schemas.openxmlformats.org/officeDocument/2006/relationships/hyperlink" Target="https://www.digikey.com/en/products/detail/wago-corporation/2002-1292/13549501?s=N4IgTCBcDa4AxzAWgIxgJwQLoF8g" TargetMode="External"/><Relationship Id="rId15" Type="http://schemas.openxmlformats.org/officeDocument/2006/relationships/hyperlink" Target="https://www.digikey.com/en/products/detail/wago-corporation/2002-1404/13549441?s=N4IgTCBcDa4AxzAWgIwBY5pAXQL5A" TargetMode="External"/><Relationship Id="rId198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14" Type="http://schemas.openxmlformats.org/officeDocument/2006/relationships/hyperlink" Target="https://www.digikey.com/en/products/detail/wago-corporation/2002-1401/13549450" TargetMode="External"/><Relationship Id="rId197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17" Type="http://schemas.openxmlformats.org/officeDocument/2006/relationships/hyperlink" Target="https://www.digikey.com/en/products/detail/wago-corporation/2002-1492/13549469?s=N4IgTCBcDa4AxzAWgIwBYCcEC6BfIA" TargetMode="External"/><Relationship Id="rId196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16" Type="http://schemas.openxmlformats.org/officeDocument/2006/relationships/hyperlink" Target="https://www.digikey.com/en/products/detail/wago-corporation/2002-1404/13549441?s=N4IgTCBcDa4AxzAWgIwBY5pAXQL5A" TargetMode="External"/><Relationship Id="rId195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19" Type="http://schemas.openxmlformats.org/officeDocument/2006/relationships/hyperlink" Target="https://www.digikey.com/en/products/detail/wago-corporation/2002-1492/13549469?s=N4IgTCBcDa4AxzAWgIwBYCcEC6BfIA" TargetMode="External"/><Relationship Id="rId18" Type="http://schemas.openxmlformats.org/officeDocument/2006/relationships/hyperlink" Target="https://www.digikey.com/en/products/detail/wago-corporation/2002-1492/13549469?s=N4IgTCBcDa4AxzAWgIwBYCcEC6BfIA" TargetMode="External"/><Relationship Id="rId199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84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83" Type="http://schemas.openxmlformats.org/officeDocument/2006/relationships/hyperlink" Target="https://mm.digikey.com/Volume0/opasdata/d220001/medias/docus/3589/249-117.pdf" TargetMode="External"/><Relationship Id="rId86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85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88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150" Type="http://schemas.openxmlformats.org/officeDocument/2006/relationships/hyperlink" Target="https://www.digikey.com/en/products/detail/phoenix-contact/2900364/2742141" TargetMode="External"/><Relationship Id="rId87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89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80" Type="http://schemas.openxmlformats.org/officeDocument/2006/relationships/hyperlink" Target="https://mm.digikey.com/Volume0/opasdata/d220001/medias/docus/3589/249-117.pdf" TargetMode="External"/><Relationship Id="rId82" Type="http://schemas.openxmlformats.org/officeDocument/2006/relationships/hyperlink" Target="https://mm.digikey.com/Volume0/opasdata/d220001/medias/docus/3589/249-117.pdf" TargetMode="External"/><Relationship Id="rId81" Type="http://schemas.openxmlformats.org/officeDocument/2006/relationships/hyperlink" Target="https://mm.digikey.com/Volume0/opasdata/d220001/medias/docus/3589/249-117.pdf" TargetMode="External"/><Relationship Id="rId1" Type="http://schemas.openxmlformats.org/officeDocument/2006/relationships/hyperlink" Target="https://www.digikey.com/en/products/detail/wago-corporation/2002-1201/13549237" TargetMode="External"/><Relationship Id="rId2" Type="http://schemas.openxmlformats.org/officeDocument/2006/relationships/hyperlink" Target="https://www.digikey.com/en/products/detail/wago-corporation/2002-1201/13549237" TargetMode="External"/><Relationship Id="rId3" Type="http://schemas.openxmlformats.org/officeDocument/2006/relationships/hyperlink" Target="https://www.digikey.com/en/products/detail/wago-corporation/2002-1201/13549237" TargetMode="External"/><Relationship Id="rId149" Type="http://schemas.openxmlformats.org/officeDocument/2006/relationships/hyperlink" Target="https://www.tme.com/us/en-us/details/p1-25_ea_svb/cam-switches/eaton-electric/?brutto=1&amp;currency=USD&amp;utm_source=google&amp;utm_medium=cpc&amp;utm_campaign=USA%20%5BPLA%5D%20com&amp;gad_source=1&amp;gclid=Cj0KCQiA3sq6BhD2ARIsAJ8MRwVIuKQ_yelpgtfNcv80fVXOpY05gE2L6CQAOFvtIpfFHlGc6E07VDAaAqtAEALw_wcB" TargetMode="External"/><Relationship Id="rId4" Type="http://schemas.openxmlformats.org/officeDocument/2006/relationships/hyperlink" Target="https://www.digikey.com/en/products/detail/wago-corporation/2002-1201/13549237" TargetMode="External"/><Relationship Id="rId148" Type="http://schemas.openxmlformats.org/officeDocument/2006/relationships/hyperlink" Target="https://www.googleadservices.com/pagead/aclk?sa=L&amp;ai=DChcSEwi8t9-U7pSKAxWxLa0GHX4rIRgYABAJGgJwdg&amp;ae=2&amp;aspm=1&amp;co=1&amp;ase=2&amp;gclid=Cj0KCQiA3sq6BhD2ARIsAJ8MRwVFJONu6edZs3c0Nbb6Z13F4cYO97ibL_kv-0rc4mvZZChz5FPRKAwaAmmBEALw_wcB&amp;ohost=www.google.com&amp;cid=CAESVeD2fYnJO_r8afR68Y2-ufPWhM9vl6AJKeuiAeR-voYvnAinYooFZBAavHdNNuFcGp5NTiiNj-h3-3zO224wIfJjOD01tUqr-Qz0fQQxYjEvTaIHx9E&amp;sig=AOD64_2ZNSGs2-R_lFumiysmwZ00MlIIwA&amp;ctype=5&amp;q=&amp;nis=4&amp;ved=2ahUKEwjj-tmU7pSKAxW1GzQIHXgUM-wQ9aACKAB6BAgIEA8&amp;adurl=" TargetMode="External"/><Relationship Id="rId9" Type="http://schemas.openxmlformats.org/officeDocument/2006/relationships/hyperlink" Target="https://www.digikey.com/en/products/detail/wago-corporation/2002-1292/13549501?s=N4IgTCBcDa4AxzAWgIxgJwQLoF8g" TargetMode="External"/><Relationship Id="rId143" Type="http://schemas.openxmlformats.org/officeDocument/2006/relationships/hyperlink" Target="https://www.tme.com/us/en-us/details/m22-pv_k01/panel-mount-switches-standard-22mm/eaton-electric/?brutto=1&amp;currency=USD&amp;utm_source=google&amp;utm_medium=cpc&amp;utm_campaign=USA%20%5BPLA%5D%20com&amp;gad_source=1&amp;gclid=Cj0KCQiA3sq6BhD2ARIsAJ8MRwWUF-5MVk1192xlWjwt2naoyDvSkW-vDGrPjfT4nw_Z2E4qooFvuCYaAn0WEALw_wcB" TargetMode="External"/><Relationship Id="rId142" Type="http://schemas.openxmlformats.org/officeDocument/2006/relationships/hyperlink" Target="https://www.automation24.biz/mounting-adapter-eaton-216374-m22-a" TargetMode="External"/><Relationship Id="rId141" Type="http://schemas.openxmlformats.org/officeDocument/2006/relationships/hyperlink" Target="https://www.smcpneumatics.com/D-M9NL.html" TargetMode="External"/><Relationship Id="rId140" Type="http://schemas.openxmlformats.org/officeDocument/2006/relationships/hyperlink" Target="https://www.smcpneumatics.com/D-M9NL.html" TargetMode="External"/><Relationship Id="rId5" Type="http://schemas.openxmlformats.org/officeDocument/2006/relationships/hyperlink" Target="https://www.digikey.com/en/products/detail/wago-corporation/2002-1204/13549353?s=N4IgTCBcDa4AxzAWgIxjgFhAXQL5A" TargetMode="External"/><Relationship Id="rId147" Type="http://schemas.openxmlformats.org/officeDocument/2006/relationships/hyperlink" Target="https://www.automation24.biz/e-stop-plate-eaton-121372-m22-xbk11" TargetMode="External"/><Relationship Id="rId6" Type="http://schemas.openxmlformats.org/officeDocument/2006/relationships/hyperlink" Target="https://www.digikey.com/en/products/detail/wago-corporation/2002-1207/13549360?s=N4IgTCBcDa4AxzAWgIxjgdhAXQL5A" TargetMode="External"/><Relationship Id="rId146" Type="http://schemas.openxmlformats.org/officeDocument/2006/relationships/hyperlink" Target="https://www.tme.com/us/en-us/details/m22-wrlk-w/panel-mount-switches-standard-22mm/eaton-electric/" TargetMode="External"/><Relationship Id="rId7" Type="http://schemas.openxmlformats.org/officeDocument/2006/relationships/hyperlink" Target="https://www.digikey.com/en/products/detail/wago-corporation/2002-1207/13549360?s=N4IgTCBcDa4AxzAWgIxjgdhAXQL5A" TargetMode="External"/><Relationship Id="rId145" Type="http://schemas.openxmlformats.org/officeDocument/2006/relationships/hyperlink" Target="https://www.tme.com/us/en-us/details/m22-pv_kc02_iy/control-stations/eaton-electric/" TargetMode="External"/><Relationship Id="rId8" Type="http://schemas.openxmlformats.org/officeDocument/2006/relationships/hyperlink" Target="https://www.digikey.com/en/products/detail/wago-corporation/2002-1207/13549360?s=N4IgTCBcDa4AxzAWgIxjgdhAXQL5A" TargetMode="External"/><Relationship Id="rId144" Type="http://schemas.openxmlformats.org/officeDocument/2006/relationships/hyperlink" Target="https://www.tme.com/us/en-us/details/m22-pv_kc02_iy/control-stations/eaton-electric/" TargetMode="External"/><Relationship Id="rId73" Type="http://schemas.openxmlformats.org/officeDocument/2006/relationships/hyperlink" Target="https://mm.digikey.com/Volume0/opasdata/d220001/medias/docus/3589/249-117.pdf" TargetMode="External"/><Relationship Id="rId72" Type="http://schemas.openxmlformats.org/officeDocument/2006/relationships/hyperlink" Target="https://mm.digikey.com/Volume0/opasdata/d220001/medias/docus/3589/249-117.pdf" TargetMode="External"/><Relationship Id="rId75" Type="http://schemas.openxmlformats.org/officeDocument/2006/relationships/hyperlink" Target="https://mm.digikey.com/Volume0/opasdata/d220001/medias/docus/3589/249-117.pdf" TargetMode="External"/><Relationship Id="rId74" Type="http://schemas.openxmlformats.org/officeDocument/2006/relationships/hyperlink" Target="https://mm.digikey.com/Volume0/opasdata/d220001/medias/docus/3589/249-117.pdf" TargetMode="External"/><Relationship Id="rId77" Type="http://schemas.openxmlformats.org/officeDocument/2006/relationships/hyperlink" Target="https://mm.digikey.com/Volume0/opasdata/d220001/medias/docus/3589/249-117.pdf" TargetMode="External"/><Relationship Id="rId76" Type="http://schemas.openxmlformats.org/officeDocument/2006/relationships/hyperlink" Target="https://mm.digikey.com/Volume0/opasdata/d220001/medias/docus/3589/249-117.pdf" TargetMode="External"/><Relationship Id="rId79" Type="http://schemas.openxmlformats.org/officeDocument/2006/relationships/hyperlink" Target="https://mm.digikey.com/Volume0/opasdata/d220001/medias/docus/3589/249-117.pdf" TargetMode="External"/><Relationship Id="rId78" Type="http://schemas.openxmlformats.org/officeDocument/2006/relationships/hyperlink" Target="https://mm.digikey.com/Volume0/opasdata/d220001/medias/docus/3589/249-117.pdf" TargetMode="External"/><Relationship Id="rId71" Type="http://schemas.openxmlformats.org/officeDocument/2006/relationships/hyperlink" Target="https://mm.digikey.com/Volume0/opasdata/d220001/medias/docus/3589/249-117.pdf" TargetMode="External"/><Relationship Id="rId70" Type="http://schemas.openxmlformats.org/officeDocument/2006/relationships/hyperlink" Target="https://mm.digikey.com/Volume0/opasdata/d220001/medias/docus/3589/249-117.pdf" TargetMode="External"/><Relationship Id="rId139" Type="http://schemas.openxmlformats.org/officeDocument/2006/relationships/hyperlink" Target="https://www.smcpneumatics.com/D-M9NL.html" TargetMode="External"/><Relationship Id="rId138" Type="http://schemas.openxmlformats.org/officeDocument/2006/relationships/hyperlink" Target="https://www.smcpneumatics.com/D-M9NL.html" TargetMode="External"/><Relationship Id="rId137" Type="http://schemas.openxmlformats.org/officeDocument/2006/relationships/hyperlink" Target="https://www.amazon.com/516-356-S-516-356-S4-C-BES01H6-BALLUFF-INDUCTIVE/dp/B00OFPXE68?source=ps-sl-shoppingads-lpcontext&amp;ref_=fplfs&amp;psc=1&amp;smid=A2VTP1GK98DEWH" TargetMode="External"/><Relationship Id="rId132" Type="http://schemas.openxmlformats.org/officeDocument/2006/relationships/hyperlink" Target="https://shop.i-automation.com/products/80MPF5.500D113-01" TargetMode="External"/><Relationship Id="rId131" Type="http://schemas.openxmlformats.org/officeDocument/2006/relationships/hyperlink" Target="https://cdn.findernet.com/app/uploads/S77EN.pdf" TargetMode="External"/><Relationship Id="rId252" Type="http://schemas.openxmlformats.org/officeDocument/2006/relationships/drawing" Target="../drawings/drawing2.xml"/><Relationship Id="rId130" Type="http://schemas.openxmlformats.org/officeDocument/2006/relationships/hyperlink" Target="https://media.distributordatasolutions.com/siemenscomplete/2022q4/documents/8538bed2ad0677e4739a45ee0b710c39a746fdc9.pdf" TargetMode="External"/><Relationship Id="rId251" Type="http://schemas.openxmlformats.org/officeDocument/2006/relationships/hyperlink" Target="https://www.edmundoptics.com/p/superscan-iv-10mm-1064nm-bundle/51480/" TargetMode="External"/><Relationship Id="rId250" Type="http://schemas.openxmlformats.org/officeDocument/2006/relationships/hyperlink" Target="https://www.ebay.com/itm/176279190055?chn=ps&amp;mkevt=1&amp;mkcid=28&amp;google_free_listing_action=view_item&amp;srsltid=AfmBOoqTf9Lhw3RO83FlzLlzsQKvvU_dSd-bHnHLExf4ih9sa1EDToU69BM" TargetMode="External"/><Relationship Id="rId136" Type="http://schemas.openxmlformats.org/officeDocument/2006/relationships/hyperlink" Target="https://www.amazon.com/516-356-S-516-356-S4-C-BES01H6-BALLUFF-INDUCTIVE/dp/B00OFPXE68?source=ps-sl-shoppingads-lpcontext&amp;ref_=fplfs&amp;psc=1&amp;smid=A2VTP1GK98DEWH" TargetMode="External"/><Relationship Id="rId135" Type="http://schemas.openxmlformats.org/officeDocument/2006/relationships/hyperlink" Target="https://www.radwell.com/Buy/B-AND-R/B-AND-R/80SD100XD.C044-01?srsltid=AfmBOoqdDsMI2nntkqhJZmhabZHviBFGjyoQalbT3h0XbA5Q-JIoQ8dN" TargetMode="External"/><Relationship Id="rId256" Type="http://schemas.openxmlformats.org/officeDocument/2006/relationships/table" Target="../tables/table2.xml"/><Relationship Id="rId134" Type="http://schemas.openxmlformats.org/officeDocument/2006/relationships/hyperlink" Target="https://www.radwell.com/Buy/B-AND-R/B-AND-R/80SD100XD.C044-01?srsltid=AfmBOoqdDsMI2nntkqhJZmhabZHviBFGjyoQalbT3h0XbA5Q-JIoQ8dN" TargetMode="External"/><Relationship Id="rId255" Type="http://schemas.openxmlformats.org/officeDocument/2006/relationships/table" Target="../tables/table1.xml"/><Relationship Id="rId133" Type="http://schemas.openxmlformats.org/officeDocument/2006/relationships/hyperlink" Target="https://shop.i-automation.com/products/80MPF5.500D113-01" TargetMode="External"/><Relationship Id="rId62" Type="http://schemas.openxmlformats.org/officeDocument/2006/relationships/hyperlink" Target="https://wago.priintcloud.com/datasheets/2006-403/en_GG" TargetMode="External"/><Relationship Id="rId61" Type="http://schemas.openxmlformats.org/officeDocument/2006/relationships/hyperlink" Target="https://mm.digikey.com/Volume0/opasdata/d220001/medias/docus/6165/2512503474File_636.pdf" TargetMode="External"/><Relationship Id="rId64" Type="http://schemas.openxmlformats.org/officeDocument/2006/relationships/hyperlink" Target="https://mm.digikey.com/Volume0/opasdata/d220001/medias/docus/3589/249-117.pdf" TargetMode="External"/><Relationship Id="rId63" Type="http://schemas.openxmlformats.org/officeDocument/2006/relationships/hyperlink" Target="https://mm.digikey.com/Volume0/opasdata/d220001/medias/docus/3589/249-117.pdf" TargetMode="External"/><Relationship Id="rId66" Type="http://schemas.openxmlformats.org/officeDocument/2006/relationships/hyperlink" Target="https://mm.digikey.com/Volume0/opasdata/d220001/medias/docus/3589/249-117.pdf" TargetMode="External"/><Relationship Id="rId172" Type="http://schemas.openxmlformats.org/officeDocument/2006/relationships/hyperlink" Target="https://www.classicautomation.com/Part/x20bm11?srsltid=AfmBOor6cWPNpnnDB5tItJ_vNs9f4BMuPkEB6Y4EXXf3dFwj4lEPjtdl" TargetMode="External"/><Relationship Id="rId65" Type="http://schemas.openxmlformats.org/officeDocument/2006/relationships/hyperlink" Target="https://mm.digikey.com/Volume0/opasdata/d220001/medias/docus/3589/249-117.pdf" TargetMode="External"/><Relationship Id="rId171" Type="http://schemas.openxmlformats.org/officeDocument/2006/relationships/hyperlink" Target="https://www.classicautomation.com/Part/x20bm11?srsltid=AfmBOor6cWPNpnnDB5tItJ_vNs9f4BMuPkEB6Y4EXXf3dFwj4lEPjtdl" TargetMode="External"/><Relationship Id="rId68" Type="http://schemas.openxmlformats.org/officeDocument/2006/relationships/hyperlink" Target="https://mm.digikey.com/Volume0/opasdata/d220001/medias/docus/3589/249-117.pdf" TargetMode="External"/><Relationship Id="rId170" Type="http://schemas.openxmlformats.org/officeDocument/2006/relationships/hyperlink" Target="https://www.classicautomation.com/Part/x20bm11?srsltid=AfmBOor6cWPNpnnDB5tItJ_vNs9f4BMuPkEB6Y4EXXf3dFwj4lEPjtdl" TargetMode="External"/><Relationship Id="rId67" Type="http://schemas.openxmlformats.org/officeDocument/2006/relationships/hyperlink" Target="https://mm.digikey.com/Volume0/opasdata/d220001/medias/docus/3589/249-117.pdf" TargetMode="External"/><Relationship Id="rId60" Type="http://schemas.openxmlformats.org/officeDocument/2006/relationships/hyperlink" Target="https://mm.digikey.com/Volume0/opasdata/d220001/medias/docus/6165/2512503474File_636.pdf" TargetMode="External"/><Relationship Id="rId165" Type="http://schemas.openxmlformats.org/officeDocument/2006/relationships/hyperlink" Target="https://www.classicautomation.com/Part/x20bm11?srsltid=AfmBOor6cWPNpnnDB5tItJ_vNs9f4BMuPkEB6Y4EXXf3dFwj4lEPjtdl" TargetMode="External"/><Relationship Id="rId69" Type="http://schemas.openxmlformats.org/officeDocument/2006/relationships/hyperlink" Target="https://mm.digikey.com/Volume0/opasdata/d220001/medias/docus/3589/249-117.pdf" TargetMode="External"/><Relationship Id="rId164" Type="http://schemas.openxmlformats.org/officeDocument/2006/relationships/hyperlink" Target="https://automationdistribution.com/b-r-x20bc0083-x20-bus-controller-powerlink/?srsltid=AfmBOoqOMnZgsyo9BaafOu-gE9EOQVeReMhjRi02foCBal51rtR1VG-X" TargetMode="External"/><Relationship Id="rId163" Type="http://schemas.openxmlformats.org/officeDocument/2006/relationships/hyperlink" Target="https://www.multiwaycontrol.com/X20BB80-br-automation?srsltid=AfmBOooSL6QWiXvPibIzN74pXAwIX7Owx5nnKcP3sTzwviLXu5Lri8xr" TargetMode="External"/><Relationship Id="rId162" Type="http://schemas.openxmlformats.org/officeDocument/2006/relationships/hyperlink" Target="https://www.jc-electronics.com/x20at6402" TargetMode="External"/><Relationship Id="rId169" Type="http://schemas.openxmlformats.org/officeDocument/2006/relationships/hyperlink" Target="https://www.classicautomation.com/Part/x20bm11?srsltid=AfmBOor6cWPNpnnDB5tItJ_vNs9f4BMuPkEB6Y4EXXf3dFwj4lEPjtdl" TargetMode="External"/><Relationship Id="rId168" Type="http://schemas.openxmlformats.org/officeDocument/2006/relationships/hyperlink" Target="https://www.classicautomation.com/Part/x20bm11?srsltid=AfmBOor6cWPNpnnDB5tItJ_vNs9f4BMuPkEB6Y4EXXf3dFwj4lEPjtdl" TargetMode="External"/><Relationship Id="rId167" Type="http://schemas.openxmlformats.org/officeDocument/2006/relationships/hyperlink" Target="https://www.classicautomation.com/Part/x20bm11?srsltid=AfmBOor6cWPNpnnDB5tItJ_vNs9f4BMuPkEB6Y4EXXf3dFwj4lEPjtdl" TargetMode="External"/><Relationship Id="rId166" Type="http://schemas.openxmlformats.org/officeDocument/2006/relationships/hyperlink" Target="https://www.classicautomation.com/Part/x20bm11?srsltid=AfmBOor6cWPNpnnDB5tItJ_vNs9f4BMuPkEB6Y4EXXf3dFwj4lEPjtdl" TargetMode="External"/><Relationship Id="rId51" Type="http://schemas.openxmlformats.org/officeDocument/2006/relationships/hyperlink" Target="https://wago.priintcloud.com/datasheets/2004-1201/en_US/99f69479602aa96328668789b7b54bfe?attempt=1&amp;signature=ed73fd62a2cb39b9cd2b9048ff098723_1hdrh52sr" TargetMode="External"/><Relationship Id="rId50" Type="http://schemas.openxmlformats.org/officeDocument/2006/relationships/hyperlink" Target="https://wago.priintcloud.com/datasheets/2004-1201/en_US/99f69479602aa96328668789b7b54bfe?attempt=1&amp;signature=ed73fd62a2cb39b9cd2b9048ff098723_1hdrh52sr" TargetMode="External"/><Relationship Id="rId53" Type="http://schemas.openxmlformats.org/officeDocument/2006/relationships/hyperlink" Target="https://wago.priintcloud.com/datasheets/2004-403/en_GG" TargetMode="External"/><Relationship Id="rId52" Type="http://schemas.openxmlformats.org/officeDocument/2006/relationships/hyperlink" Target="https://source.z2data.com/2018/11/28/10/50/59/199/1983032409/25122331926File_502.pdf" TargetMode="External"/><Relationship Id="rId55" Type="http://schemas.openxmlformats.org/officeDocument/2006/relationships/hyperlink" Target="https://www.wago.com/global/products/datasheets/Datasheet.pdf?product=2006-1671/1000-849&amp;lang=en" TargetMode="External"/><Relationship Id="rId161" Type="http://schemas.openxmlformats.org/officeDocument/2006/relationships/hyperlink" Target="https://www.classicautomation.com/Part/x20ao4622?srsltid=AfmBOoqTKJKgAl4tM5nRqDNVqRP34QdVV8cYsFh4xScuSYGXDccR8y-_" TargetMode="External"/><Relationship Id="rId54" Type="http://schemas.openxmlformats.org/officeDocument/2006/relationships/hyperlink" Target="https://www.wago.com/global/products/datasheets/Datasheet.pdf?product=2006-1671/1000-848&amp;lang=en" TargetMode="External"/><Relationship Id="rId160" Type="http://schemas.openxmlformats.org/officeDocument/2006/relationships/hyperlink" Target="https://www.classicautomation.com/Part/x20ao4622?srsltid=AfmBOoqTKJKgAl4tM5nRqDNVqRP34QdVV8cYsFh4xScuSYGXDccR8y-_" TargetMode="External"/><Relationship Id="rId57" Type="http://schemas.openxmlformats.org/officeDocument/2006/relationships/hyperlink" Target="https://mm.digikey.com/Volume0/opasdata/d220001/medias/docus/5731/2006-1681.pdf" TargetMode="External"/><Relationship Id="rId56" Type="http://schemas.openxmlformats.org/officeDocument/2006/relationships/hyperlink" Target="https://mm.digikey.com/Volume0/opasdata/d220001/medias/docus/5731/2006-1681.pdf" TargetMode="External"/><Relationship Id="rId159" Type="http://schemas.openxmlformats.org/officeDocument/2006/relationships/hyperlink" Target="https://www.classicautomation.com/Part/x20ao4622?srsltid=AfmBOoqTKJKgAl4tM5nRqDNVqRP34QdVV8cYsFh4xScuSYGXDccR8y-_" TargetMode="External"/><Relationship Id="rId59" Type="http://schemas.openxmlformats.org/officeDocument/2006/relationships/hyperlink" Target="https://mm.digikey.com/Volume0/opasdata/d220001/medias/docus/6165/2512503474File_636.pdf" TargetMode="External"/><Relationship Id="rId154" Type="http://schemas.openxmlformats.org/officeDocument/2006/relationships/hyperlink" Target="https://www.lapptannehill.com/53119020-lapp-skintop-reg-gmp-gl-m-locknut-gray-20-metric?srsltid=AfmBOooAR9Jt2-DCWaDX_HXgPjXFbFgAF-Ds_69tELeMBUGHIyIzLYpW" TargetMode="External"/><Relationship Id="rId58" Type="http://schemas.openxmlformats.org/officeDocument/2006/relationships/hyperlink" Target="https://mm.digikey.com/Volume0/opasdata/d220001/medias/docus/6165/2512503474File_636.pdf" TargetMode="External"/><Relationship Id="rId153" Type="http://schemas.openxmlformats.org/officeDocument/2006/relationships/hyperlink" Target="https://www.lapptannehill.com/53325450-lapp-skintop-reg-dix-m-multi-cable-sealing-bushing-4-x-0-197-inch-holes-for-m25-and-npt-3-4?srsltid=AfmBOopSbc7MAP9Zty5p4XS6INVl9DVetIsAThcuRJp16NfL5Zbd2bea" TargetMode="External"/><Relationship Id="rId152" Type="http://schemas.openxmlformats.org/officeDocument/2006/relationships/hyperlink" Target="https://www.galco.com/570000-pilz.html?srsltid=AfmBOoqAC7yzlkv8CDRi3GQaG9Qpfj0qLfDibmwJEkA5i6cjzngv2Qpx" TargetMode="External"/><Relationship Id="rId151" Type="http://schemas.openxmlformats.org/officeDocument/2006/relationships/hyperlink" Target="https://www.tme.com/us/en-us/details/pz-541061/standard-safety-switches/pilz/541061/?brutto=1&amp;currency=USD&amp;utm_source=google&amp;utm_medium=cpc&amp;utm_campaign=USA%20%5BPLA%5D%20com&amp;gad_source=1&amp;gclid=Cj0KCQiA3sq6BhD2ARIsAJ8MRwU5uFWmjF1jJkltBgZzjAmRNUXHD6KytA_TVZbzzogDYhkqI8KH0GAaAjTJEALw_wcB" TargetMode="External"/><Relationship Id="rId158" Type="http://schemas.openxmlformats.org/officeDocument/2006/relationships/hyperlink" Target="https://shop.hartfiel.com/products/X20AI4622" TargetMode="External"/><Relationship Id="rId157" Type="http://schemas.openxmlformats.org/officeDocument/2006/relationships/hyperlink" Target="https://www.lapptannehill.com/53111030-lapp-skintop-reg-st-m-strain-relief-cable-gland-25-metric-gray-standard-thread?srsltid=AfmBOopMb2ABOLxy9Zqg3pTCSAd-buAf6-iO5ah_l5QSLTbdgWswVbV_" TargetMode="External"/><Relationship Id="rId156" Type="http://schemas.openxmlformats.org/officeDocument/2006/relationships/hyperlink" Target="https://www.lapptannehill.com/53111020-lapp-skintop-reg-st-m-strain-relief-cable-gland-20-metric-gray-standard-thread?srsltid=AfmBOop6KDxryfMLr-M8Ruyy5wxi-AAgCghveSHYfiMcww_-X1QwXXyO" TargetMode="External"/><Relationship Id="rId155" Type="http://schemas.openxmlformats.org/officeDocument/2006/relationships/hyperlink" Target="https://www.lapptannehill.com/53119030-lapp-skintop-reg-gmp-gl-m-locknut-gray-25-metric?srsltid=AfmBOorocghYp-n8zV2eJAkkd_CPpa2YiDUy4NPNSlKr8mD7nJiiFWgl" TargetMode="External"/><Relationship Id="rId107" Type="http://schemas.openxmlformats.org/officeDocument/2006/relationships/hyperlink" Target="https://media.distributordatasolutions.com/siemenscomplete/2023q3/documents/de78a7de69a88d0ae40d5160e486ece11f0dbf47.pdf" TargetMode="External"/><Relationship Id="rId228" Type="http://schemas.openxmlformats.org/officeDocument/2006/relationships/hyperlink" Target="https://www.multiwaycontrol.com/X20TB12-br-automation?srsltid=AfmBOooJxi6Rz0dMf7Mh5Z5-DqSiPUfFZ2bdujIQz6xLzcwBzRNhGpci" TargetMode="External"/><Relationship Id="rId106" Type="http://schemas.openxmlformats.org/officeDocument/2006/relationships/hyperlink" Target="https://mm.digikey.com/Volume0/opasdata/d220001/medias/docus/5731/281-611_281-541.pdf" TargetMode="External"/><Relationship Id="rId227" Type="http://schemas.openxmlformats.org/officeDocument/2006/relationships/hyperlink" Target="https://www.multiwaycontrol.com/X20TB12-br-automation?srsltid=AfmBOooJxi6Rz0dMf7Mh5Z5-DqSiPUfFZ2bdujIQz6xLzcwBzRNhGpci" TargetMode="External"/><Relationship Id="rId105" Type="http://schemas.openxmlformats.org/officeDocument/2006/relationships/hyperlink" Target="https://mm.digikey.com/Volume0/opasdata/d220001/medias/docus/5731/281-611_281-541.pdf" TargetMode="External"/><Relationship Id="rId226" Type="http://schemas.openxmlformats.org/officeDocument/2006/relationships/hyperlink" Target="https://www.multiwaycontrol.com/X20TB12-br-automation?srsltid=AfmBOooJxi6Rz0dMf7Mh5Z5-DqSiPUfFZ2bdujIQz6xLzcwBzRNhGpci" TargetMode="External"/><Relationship Id="rId104" Type="http://schemas.openxmlformats.org/officeDocument/2006/relationships/hyperlink" Target="https://mm.digikey.com/Volume0/opasdata/d220001/medias/docus/5731/281-611_281-541.pdf" TargetMode="External"/><Relationship Id="rId225" Type="http://schemas.openxmlformats.org/officeDocument/2006/relationships/hyperlink" Target="https://www.multiwaycontrol.com/X20TB12-br-automation?srsltid=AfmBOooJxi6Rz0dMf7Mh5Z5-DqSiPUfFZ2bdujIQz6xLzcwBzRNhGpci" TargetMode="External"/><Relationship Id="rId109" Type="http://schemas.openxmlformats.org/officeDocument/2006/relationships/hyperlink" Target="https://media.distributordatasolutions.com/siemenscomplete/2023q3/documents/de78a7de69a88d0ae40d5160e486ece11f0dbf47.pdf" TargetMode="External"/><Relationship Id="rId108" Type="http://schemas.openxmlformats.org/officeDocument/2006/relationships/hyperlink" Target="https://media.distributordatasolutions.com/siemenscomplete/2023q3/documents/de78a7de69a88d0ae40d5160e486ece11f0dbf47.pdf" TargetMode="External"/><Relationship Id="rId229" Type="http://schemas.openxmlformats.org/officeDocument/2006/relationships/hyperlink" Target="https://www.multiwaycontrol.com/X20TB12-br-automation?srsltid=AfmBOooJxi6Rz0dMf7Mh5Z5-DqSiPUfFZ2bdujIQz6xLzcwBzRNhGpci" TargetMode="External"/><Relationship Id="rId220" Type="http://schemas.openxmlformats.org/officeDocument/2006/relationships/hyperlink" Target="https://www.multiwaycontrol.com/X20TB12-br-automation?srsltid=AfmBOooJxi6Rz0dMf7Mh5Z5-DqSiPUfFZ2bdujIQz6xLzcwBzRNhGpci" TargetMode="External"/><Relationship Id="rId103" Type="http://schemas.openxmlformats.org/officeDocument/2006/relationships/hyperlink" Target="https://mm.digikey.com/Volume0/opasdata/d220001/medias/docus/6165/26191340966File_9632.pdf" TargetMode="External"/><Relationship Id="rId224" Type="http://schemas.openxmlformats.org/officeDocument/2006/relationships/hyperlink" Target="https://www.multiwaycontrol.com/X20TB12-br-automation?srsltid=AfmBOooJxi6Rz0dMf7Mh5Z5-DqSiPUfFZ2bdujIQz6xLzcwBzRNhGpci" TargetMode="External"/><Relationship Id="rId102" Type="http://schemas.openxmlformats.org/officeDocument/2006/relationships/hyperlink" Target="https://source.z2data.com/2018/11/29/0/41/50/297/1187215849/2619644211File_9591.pdf" TargetMode="External"/><Relationship Id="rId223" Type="http://schemas.openxmlformats.org/officeDocument/2006/relationships/hyperlink" Target="https://www.multiwaycontrol.com/X20TB12-br-automation?srsltid=AfmBOooJxi6Rz0dMf7Mh5Z5-DqSiPUfFZ2bdujIQz6xLzcwBzRNhGpci" TargetMode="External"/><Relationship Id="rId101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222" Type="http://schemas.openxmlformats.org/officeDocument/2006/relationships/hyperlink" Target="https://www.multiwaycontrol.com/X20TB12-br-automation?srsltid=AfmBOooJxi6Rz0dMf7Mh5Z5-DqSiPUfFZ2bdujIQz6xLzcwBzRNhGpci" TargetMode="External"/><Relationship Id="rId100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221" Type="http://schemas.openxmlformats.org/officeDocument/2006/relationships/hyperlink" Target="https://www.multiwaycontrol.com/X20TB12-br-automation?srsltid=AfmBOooJxi6Rz0dMf7Mh5Z5-DqSiPUfFZ2bdujIQz6xLzcwBzRNhGpci" TargetMode="External"/><Relationship Id="rId217" Type="http://schemas.openxmlformats.org/officeDocument/2006/relationships/hyperlink" Target="https://www.multiwaycontrol.com/X20TB12-br-automation?srsltid=AfmBOooJxi6Rz0dMf7Mh5Z5-DqSiPUfFZ2bdujIQz6xLzcwBzRNhGpci" TargetMode="External"/><Relationship Id="rId216" Type="http://schemas.openxmlformats.org/officeDocument/2006/relationships/hyperlink" Target="https://automationdistribution.com/b-r-x20so6300-x20-safe-digital-6xo-24v-0-2a/?srsltid=AfmBOoqlLjOrVg1aqI57eemDI48tUE7wt5n4DOKsE4BPgB239kUZdO0t" TargetMode="External"/><Relationship Id="rId215" Type="http://schemas.openxmlformats.org/officeDocument/2006/relationships/hyperlink" Target="https://www.radwell.com/Buy/B-AND-R/B-AND-R/X20SL8101?srsltid=AfmBOopqFgKYvgjvGANWQqSdDjsDBCrzOBZEp41KR7OkWNOTScf28-fV" TargetMode="External"/><Relationship Id="rId214" Type="http://schemas.openxmlformats.org/officeDocument/2006/relationships/hyperlink" Target="https://www.radwell.com/Buy/B-AND-R/B-AND-R/X20SO4110?campaignid=919808602&amp;adgroupid=45995929197&amp;creative=225201147072&amp;matchtype=&amp;network=g&amp;device=c&amp;keyword=&amp;gad_source=1&amp;gclid=Cj0KCQiAgdC6BhCgARIsAPWNWH3tG8WUyyP4ySGu6TAdrkJ_ov6ZIldJkAmN6IqmYCU27hjckBmE7V8aAn8IEALw_wcB" TargetMode="External"/><Relationship Id="rId219" Type="http://schemas.openxmlformats.org/officeDocument/2006/relationships/hyperlink" Target="https://www.multiwaycontrol.com/X20TB12-br-automation?srsltid=AfmBOooJxi6Rz0dMf7Mh5Z5-DqSiPUfFZ2bdujIQz6xLzcwBzRNhGpci" TargetMode="External"/><Relationship Id="rId218" Type="http://schemas.openxmlformats.org/officeDocument/2006/relationships/hyperlink" Target="https://www.multiwaycontrol.com/X20TB12-br-automation?srsltid=AfmBOooJxi6Rz0dMf7Mh5Z5-DqSiPUfFZ2bdujIQz6xLzcwBzRNhGpci" TargetMode="External"/><Relationship Id="rId213" Type="http://schemas.openxmlformats.org/officeDocument/2006/relationships/hyperlink" Target="https://www.radwell.com/Buy/B-AND-R/B-AND-R/X20AT4222?campaignid=919808602&amp;adgroupid=45995929197&amp;creative=225201147072&amp;matchtype=&amp;network=g&amp;device=c&amp;keyword=&amp;gad_source=1&amp;gclid=Cj0KCQiAgdC6BhCgARIsAPWNWH2F7yKs0frf_X4kk5Ctuv_tCLNJaX_uvhBD3jIk9M5GOB_h96BVMb0aAhy5EALw_wcB" TargetMode="External"/><Relationship Id="rId212" Type="http://schemas.openxmlformats.org/officeDocument/2006/relationships/hyperlink" Target="https://www.radwell.com/Buy/B-AND-R/B-AND-R/X20AT4222?campaignid=919808602&amp;adgroupid=45995929197&amp;creative=225201147072&amp;matchtype=&amp;network=g&amp;device=c&amp;keyword=&amp;gad_source=1&amp;gclid=Cj0KCQiAgdC6BhCgARIsAPWNWH2F7yKs0frf_X4kk5Ctuv_tCLNJaX_uvhBD3jIk9M5GOB_h96BVMb0aAhy5EALw_wcB" TargetMode="External"/><Relationship Id="rId211" Type="http://schemas.openxmlformats.org/officeDocument/2006/relationships/hyperlink" Target="https://www.radwell.com/Buy/B-AND-R/B-AND-R/X20PS9400?campaignid=919808602&amp;adgroupid=45995929197&amp;creative=225201147072&amp;matchtype=&amp;network=g&amp;device=c&amp;keyword=&amp;gad_source=1&amp;gclid=Cj0KCQiAgdC6BhCgARIsAPWNWH1OZHoYdk6hApyK25RySI2jDc-agatotkX-AvILGXLydRwBCNUptqYaAj3eEALw_wcB" TargetMode="External"/><Relationship Id="rId210" Type="http://schemas.openxmlformats.org/officeDocument/2006/relationships/hyperlink" Target="https://www.radwell.com/Buy/B-AND-R/B-AND-R/X20MK0211/?srsltid=AfmBOoqFgDT0z5ek7uqVUxqSAVOzq059C5Tnl-5HGKCBaUdUtjPyVAvE" TargetMode="External"/><Relationship Id="rId129" Type="http://schemas.openxmlformats.org/officeDocument/2006/relationships/hyperlink" Target="https://www.werma.com/en/s_c231i2795/KS72_Classic_RM_24VAC/DC_GN/YE/RD/64900002.html" TargetMode="External"/><Relationship Id="rId128" Type="http://schemas.openxmlformats.org/officeDocument/2006/relationships/hyperlink" Target="https://media.distributordatasolutions.com/siemenscomplete/2022q4/documents/4e4a6febfccecc009ce166dd96b010cdf391c490.pdf" TargetMode="External"/><Relationship Id="rId249" Type="http://schemas.openxmlformats.org/officeDocument/2006/relationships/hyperlink" Target="https://www.beckerpumpsrus.com/becker-52201297101-heat-exchanger-rv-1-17-0-114-05.html?srsltid=AfmBOorry6al1b7eTy-FzyZP4CLMxPlgwduIoB66fzwTjC3h-HCTK-56" TargetMode="External"/><Relationship Id="rId127" Type="http://schemas.openxmlformats.org/officeDocument/2006/relationships/hyperlink" Target="https://media.distributordatasolutions.com/siemenscomplete/2022q4/documents/4b3c2bc4b5e1ea0299cd1832033180081b32ee06.pdf" TargetMode="External"/><Relationship Id="rId248" Type="http://schemas.openxmlformats.org/officeDocument/2006/relationships/hyperlink" Target="https://www.ebay.com/itm/326362172607?chn=ps&amp;norover=1&amp;mkevt=1&amp;mkrid=711-117182-37290-0&amp;mkcid=2&amp;mkscid=101&amp;itemid=326362172607&amp;targetid=882300791467&amp;device=c&amp;mktype=pla&amp;googleloc=9033270&amp;poi=&amp;campaignid=1669934603&amp;mkgroupid=65058347419&amp;rlsatarget=pla-882300791467&amp;abcId=1123856&amp;merchantid=614915615&amp;gad_source=1&amp;gclid=Cj0KCQiAgdC6BhCgARIsAPWNWH2QY5WXniLprVKNzMLdpUA8QnvKrdAJDg6U2amAi3qXyOOxhMSo32waAtKOEALw_wcB" TargetMode="External"/><Relationship Id="rId126" Type="http://schemas.openxmlformats.org/officeDocument/2006/relationships/hyperlink" Target="https://media.distributordatasolutions.com/siemenscomplete/2022q4/documents/4b3c2bc4b5e1ea0299cd1832033180081b32ee06.pdf" TargetMode="External"/><Relationship Id="rId247" Type="http://schemas.openxmlformats.org/officeDocument/2006/relationships/hyperlink" Target="https://www.ajvs.com/pfeiffer-duo-35-c-34692" TargetMode="External"/><Relationship Id="rId121" Type="http://schemas.openxmlformats.org/officeDocument/2006/relationships/hyperlink" Target="https://media.distributordatasolutions.com/siemenscomplete/2023q3/documents/9f17558219a4645f6f799116ee48a19fded66100.pdf" TargetMode="External"/><Relationship Id="rId242" Type="http://schemas.openxmlformats.org/officeDocument/2006/relationships/hyperlink" Target="https://www.radwell.com/Buy/B-AND-R/B-AND-R/X20TB52?srsltid=AfmBOop5ZUqV8I0189Z1gfZQneEKE5H0evDc2xv3WFZWl1WjaEpPYl7A" TargetMode="External"/><Relationship Id="rId120" Type="http://schemas.openxmlformats.org/officeDocument/2006/relationships/hyperlink" Target="https://media.distributordatasolutions.com/siemenscomplete/2023q3/documents/ec11bb99e26cbb28af41942db2f42b35816f0138.pdf" TargetMode="External"/><Relationship Id="rId241" Type="http://schemas.openxmlformats.org/officeDocument/2006/relationships/hyperlink" Target="https://www.radwell.com/Buy/B-AND-R/B-AND-R/X20TB52?srsltid=AfmBOop5ZUqV8I0189Z1gfZQneEKE5H0evDc2xv3WFZWl1WjaEpPYl7A" TargetMode="External"/><Relationship Id="rId240" Type="http://schemas.openxmlformats.org/officeDocument/2006/relationships/hyperlink" Target="https://www.multiwaycontrol.com/X20TB12-br-automation?srsltid=AfmBOooJxi6Rz0dMf7Mh5Z5-DqSiPUfFZ2bdujIQz6xLzcwBzRNhGpci" TargetMode="External"/><Relationship Id="rId125" Type="http://schemas.openxmlformats.org/officeDocument/2006/relationships/hyperlink" Target="https://media.distributordatasolutions.com/siemenscomplete/2022q4/documents/0c67add1b8f0e0c54eaecf751edcc56dd61a4c91.pdf" TargetMode="External"/><Relationship Id="rId246" Type="http://schemas.openxmlformats.org/officeDocument/2006/relationships/hyperlink" Target="https://www.top-maschinen.de/k-c-glasmassstab-s5-100-mm-5-m-verfahrweg-120-mm-812243.html" TargetMode="External"/><Relationship Id="rId124" Type="http://schemas.openxmlformats.org/officeDocument/2006/relationships/hyperlink" Target="https://www.conrad.com/en/p/finder-49-62-9-024-0050-relay-component-nominal-voltage-24-v-dc-2-change-overs-1-pc-s-2196626.html?srsltid=AfmBOopUJ4_Nzp3dUvDZDlqLaFeB-u_muvunWromwGyTY-LEP3Hnuf_e" TargetMode="External"/><Relationship Id="rId245" Type="http://schemas.openxmlformats.org/officeDocument/2006/relationships/hyperlink" Target="https://www.radwell.com/Buy/B-AND-R/B-AND-R/X20TB52?srsltid=AfmBOop5ZUqV8I0189Z1gfZQneEKE5H0evDc2xv3WFZWl1WjaEpPYl7A" TargetMode="External"/><Relationship Id="rId123" Type="http://schemas.openxmlformats.org/officeDocument/2006/relationships/hyperlink" Target="https://media.distributordatasolutions.com/siemenscomplete/2023q3/documents/6f6a29d590448be0c36b249dc32e020c024c1633.pdf" TargetMode="External"/><Relationship Id="rId244" Type="http://schemas.openxmlformats.org/officeDocument/2006/relationships/hyperlink" Target="https://www.radwell.com/Buy/B-AND-R/B-AND-R/X20TB52?srsltid=AfmBOop5ZUqV8I0189Z1gfZQneEKE5H0evDc2xv3WFZWl1WjaEpPYl7A" TargetMode="External"/><Relationship Id="rId122" Type="http://schemas.openxmlformats.org/officeDocument/2006/relationships/hyperlink" Target="https://media.distributordatasolutions.com/siemenscomplete/2023q3/documents/9105aaa3cc7c118f4ae38a223c9b640aec12dbaf.pdf" TargetMode="External"/><Relationship Id="rId243" Type="http://schemas.openxmlformats.org/officeDocument/2006/relationships/hyperlink" Target="https://www.radwell.com/Buy/B-AND-R/B-AND-R/X20TB52?srsltid=AfmBOop5ZUqV8I0189Z1gfZQneEKE5H0evDc2xv3WFZWl1WjaEpPYl7A" TargetMode="External"/><Relationship Id="rId95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4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7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6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9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8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1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0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3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92" Type="http://schemas.openxmlformats.org/officeDocument/2006/relationships/hyperlink" Target="https://wago.priintcloud.com/datasheets/249-119/en_US/d777443770ce70b151042b3b4a6b81ad?attempt=1&amp;signature=4fcf36d147264e969498504e30f8779a_1g8h59ihg" TargetMode="External"/><Relationship Id="rId118" Type="http://schemas.openxmlformats.org/officeDocument/2006/relationships/hyperlink" Target="https://media.distributordatasolutions.com/siemenscomplete/2023q3/documents/ec11bb99e26cbb28af41942db2f42b35816f0138.pdf" TargetMode="External"/><Relationship Id="rId239" Type="http://schemas.openxmlformats.org/officeDocument/2006/relationships/hyperlink" Target="https://www.multiwaycontrol.com/X20TB12-br-automation?srsltid=AfmBOooJxi6Rz0dMf7Mh5Z5-DqSiPUfFZ2bdujIQz6xLzcwBzRNhGpci" TargetMode="External"/><Relationship Id="rId117" Type="http://schemas.openxmlformats.org/officeDocument/2006/relationships/hyperlink" Target="https://media.distributordatasolutions.com/siemenscomplete/2023q3/documents/ec11bb99e26cbb28af41942db2f42b35816f0138.pdf" TargetMode="External"/><Relationship Id="rId238" Type="http://schemas.openxmlformats.org/officeDocument/2006/relationships/hyperlink" Target="https://www.multiwaycontrol.com/X20TB12-br-automation?srsltid=AfmBOooJxi6Rz0dMf7Mh5Z5-DqSiPUfFZ2bdujIQz6xLzcwBzRNhGpci" TargetMode="External"/><Relationship Id="rId116" Type="http://schemas.openxmlformats.org/officeDocument/2006/relationships/hyperlink" Target="https://media.distributordatasolutions.com/siemenscomplete/2023q3/documents/ec11bb99e26cbb28af41942db2f42b35816f0138.pdf" TargetMode="External"/><Relationship Id="rId237" Type="http://schemas.openxmlformats.org/officeDocument/2006/relationships/hyperlink" Target="https://www.multiwaycontrol.com/X20TB12-br-automation?srsltid=AfmBOooJxi6Rz0dMf7Mh5Z5-DqSiPUfFZ2bdujIQz6xLzcwBzRNhGpci" TargetMode="External"/><Relationship Id="rId115" Type="http://schemas.openxmlformats.org/officeDocument/2006/relationships/hyperlink" Target="https://media.distributordatasolutions.com/siemenscomplete/2023q3/documents/a2609c0731fa761370c0e398f8ccf63f170c4624.pdf" TargetMode="External"/><Relationship Id="rId236" Type="http://schemas.openxmlformats.org/officeDocument/2006/relationships/hyperlink" Target="https://www.multiwaycontrol.com/X20TB12-br-automation?srsltid=AfmBOooJxi6Rz0dMf7Mh5Z5-DqSiPUfFZ2bdujIQz6xLzcwBzRNhGpci" TargetMode="External"/><Relationship Id="rId119" Type="http://schemas.openxmlformats.org/officeDocument/2006/relationships/hyperlink" Target="https://media.distributordatasolutions.com/siemenscomplete/2023q3/documents/ec11bb99e26cbb28af41942db2f42b35816f0138.pdf" TargetMode="External"/><Relationship Id="rId110" Type="http://schemas.openxmlformats.org/officeDocument/2006/relationships/hyperlink" Target="https://media.distributordatasolutions.com/siemenscomplete/2023q3/documents/de78a7de69a88d0ae40d5160e486ece11f0dbf47.pdf" TargetMode="External"/><Relationship Id="rId231" Type="http://schemas.openxmlformats.org/officeDocument/2006/relationships/hyperlink" Target="https://www.multiwaycontrol.com/X20TB12-br-automation?srsltid=AfmBOooJxi6Rz0dMf7Mh5Z5-DqSiPUfFZ2bdujIQz6xLzcwBzRNhGpci" TargetMode="External"/><Relationship Id="rId230" Type="http://schemas.openxmlformats.org/officeDocument/2006/relationships/hyperlink" Target="https://www.multiwaycontrol.com/X20TB12-br-automation?srsltid=AfmBOooJxi6Rz0dMf7Mh5Z5-DqSiPUfFZ2bdujIQz6xLzcwBzRNhGpci" TargetMode="External"/><Relationship Id="rId114" Type="http://schemas.openxmlformats.org/officeDocument/2006/relationships/hyperlink" Target="https://media.distributordatasolutions.com/siemenscomplete/2023q3/documents/a2609c0731fa761370c0e398f8ccf63f170c4624.pdf" TargetMode="External"/><Relationship Id="rId235" Type="http://schemas.openxmlformats.org/officeDocument/2006/relationships/hyperlink" Target="https://www.multiwaycontrol.com/X20TB12-br-automation?srsltid=AfmBOooJxi6Rz0dMf7Mh5Z5-DqSiPUfFZ2bdujIQz6xLzcwBzRNhGpci" TargetMode="External"/><Relationship Id="rId113" Type="http://schemas.openxmlformats.org/officeDocument/2006/relationships/hyperlink" Target="https://media.distributordatasolutions.com/siemenscomplete/2023q3/documents/798f4d0ca3ce17d51718d503a1d480e35cb3ec09.pdf" TargetMode="External"/><Relationship Id="rId234" Type="http://schemas.openxmlformats.org/officeDocument/2006/relationships/hyperlink" Target="https://www.multiwaycontrol.com/X20TB12-br-automation?srsltid=AfmBOooJxi6Rz0dMf7Mh5Z5-DqSiPUfFZ2bdujIQz6xLzcwBzRNhGpci" TargetMode="External"/><Relationship Id="rId112" Type="http://schemas.openxmlformats.org/officeDocument/2006/relationships/hyperlink" Target="https://media.distributordatasolutions.com/siemenscomplete/2023q3/documents/798f4d0ca3ce17d51718d503a1d480e35cb3ec09.pdf" TargetMode="External"/><Relationship Id="rId233" Type="http://schemas.openxmlformats.org/officeDocument/2006/relationships/hyperlink" Target="https://www.multiwaycontrol.com/X20TB12-br-automation?srsltid=AfmBOooJxi6Rz0dMf7Mh5Z5-DqSiPUfFZ2bdujIQz6xLzcwBzRNhGpci" TargetMode="External"/><Relationship Id="rId111" Type="http://schemas.openxmlformats.org/officeDocument/2006/relationships/hyperlink" Target="https://media.distributordatasolutions.com/siemenscomplete/2023q3/documents/da7368dea39ea0ab78f06c2cae7d8a6f29a93441.pdf" TargetMode="External"/><Relationship Id="rId232" Type="http://schemas.openxmlformats.org/officeDocument/2006/relationships/hyperlink" Target="https://www.multiwaycontrol.com/X20TB12-br-automation?srsltid=AfmBOooJxi6Rz0dMf7Mh5Z5-DqSiPUfFZ2bdujIQz6xLzcwBzRNhGpci" TargetMode="External"/><Relationship Id="rId206" Type="http://schemas.openxmlformats.org/officeDocument/2006/relationships/hyperlink" Target="https://shop.hartfiel.com/products/X20DO6322" TargetMode="External"/><Relationship Id="rId205" Type="http://schemas.openxmlformats.org/officeDocument/2006/relationships/hyperlink" Target="https://shop.hartfiel.com/products/X20DO6322" TargetMode="External"/><Relationship Id="rId204" Type="http://schemas.openxmlformats.org/officeDocument/2006/relationships/hyperlink" Target="https://shop.hartfiel.com/products/X20DO6322" TargetMode="External"/><Relationship Id="rId203" Type="http://schemas.openxmlformats.org/officeDocument/2006/relationships/hyperlink" Target="https://shop.hartfiel.com/products/X20DO6322" TargetMode="External"/><Relationship Id="rId209" Type="http://schemas.openxmlformats.org/officeDocument/2006/relationships/hyperlink" Target="https://shop.hartfiel.com/products/X20DO6322" TargetMode="External"/><Relationship Id="rId208" Type="http://schemas.openxmlformats.org/officeDocument/2006/relationships/hyperlink" Target="https://shop.hartfiel.com/products/X20DO6322" TargetMode="External"/><Relationship Id="rId207" Type="http://schemas.openxmlformats.org/officeDocument/2006/relationships/hyperlink" Target="https://shop.hartfiel.com/products/X20DO6322" TargetMode="External"/><Relationship Id="rId202" Type="http://schemas.openxmlformats.org/officeDocument/2006/relationships/hyperlink" Target="https://shop.hartfiel.com/products/X20DO6322" TargetMode="External"/><Relationship Id="rId201" Type="http://schemas.openxmlformats.org/officeDocument/2006/relationships/hyperlink" Target="https://automationdistribution.com/b-r-x20di6371-x20-digital-6xi-24v-sink-2-wire/?srsltid=AfmBOopG1DUPNGzDmeKqasxv1E1CgmTgMtQb0pQYEV-RGvGLHOrc8mXk" TargetMode="External"/><Relationship Id="rId200" Type="http://schemas.openxmlformats.org/officeDocument/2006/relationships/hyperlink" Target="https://automationdistribution.com/b-r-x20di6371-x20-digital-6xi-24v-sink-2-wire/?srsltid=AfmBOopG1DUPNGzDmeKqasxv1E1CgmTgMtQb0pQYEV-RGvGLHOrc8mX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qui-moly.com/en/silicone-sealing-compound-black-p001435.html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18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.25" customHeight="1">
      <c r="A2" s="1" t="s">
        <v>6</v>
      </c>
      <c r="B2" s="4">
        <v>1.0</v>
      </c>
      <c r="C2" s="1" t="s">
        <v>7</v>
      </c>
      <c r="D2" s="1" t="s">
        <v>8</v>
      </c>
      <c r="E2" s="5"/>
      <c r="F2" s="6" t="s">
        <v>9</v>
      </c>
    </row>
    <row r="3" ht="15.0" customHeight="1">
      <c r="A3" s="1" t="s">
        <v>10</v>
      </c>
      <c r="B3" s="4">
        <v>4.0</v>
      </c>
      <c r="C3" s="1" t="s">
        <v>11</v>
      </c>
      <c r="D3" s="1" t="s">
        <v>12</v>
      </c>
      <c r="E3" s="1" t="s">
        <v>13</v>
      </c>
      <c r="F3" s="1" t="s">
        <v>14</v>
      </c>
    </row>
    <row r="4" ht="11.25" customHeight="1">
      <c r="A4" s="1" t="s">
        <v>15</v>
      </c>
      <c r="B4" s="4">
        <v>14.0</v>
      </c>
      <c r="C4" s="1" t="s">
        <v>11</v>
      </c>
      <c r="D4" s="1" t="s">
        <v>12</v>
      </c>
      <c r="E4" s="1" t="s">
        <v>13</v>
      </c>
      <c r="F4" s="1" t="s">
        <v>14</v>
      </c>
    </row>
    <row r="5" ht="11.25" customHeight="1">
      <c r="A5" s="1" t="s">
        <v>16</v>
      </c>
      <c r="B5" s="4">
        <v>2.0</v>
      </c>
      <c r="C5" s="1" t="s">
        <v>11</v>
      </c>
      <c r="D5" s="1" t="s">
        <v>12</v>
      </c>
      <c r="E5" s="1" t="s">
        <v>13</v>
      </c>
      <c r="F5" s="1" t="s">
        <v>14</v>
      </c>
    </row>
    <row r="6" ht="11.25" customHeight="1">
      <c r="A6" s="1" t="s">
        <v>17</v>
      </c>
      <c r="B6" s="4">
        <v>8.0</v>
      </c>
      <c r="C6" s="1" t="s">
        <v>11</v>
      </c>
      <c r="D6" s="1" t="s">
        <v>12</v>
      </c>
      <c r="E6" s="1" t="s">
        <v>13</v>
      </c>
      <c r="F6" s="1" t="s">
        <v>14</v>
      </c>
    </row>
    <row r="7" ht="15.0" customHeight="1">
      <c r="A7" s="6" t="s">
        <v>10</v>
      </c>
      <c r="B7" s="4">
        <v>1.0</v>
      </c>
      <c r="C7" s="1" t="s">
        <v>11</v>
      </c>
      <c r="D7" s="1" t="s">
        <v>18</v>
      </c>
      <c r="E7" s="1" t="s">
        <v>13</v>
      </c>
      <c r="F7" s="6" t="s">
        <v>19</v>
      </c>
    </row>
    <row r="8" ht="15.0" customHeight="1">
      <c r="A8" s="6" t="s">
        <v>10</v>
      </c>
      <c r="B8" s="4">
        <v>1.0</v>
      </c>
      <c r="C8" s="1" t="s">
        <v>20</v>
      </c>
      <c r="D8" s="1" t="s">
        <v>21</v>
      </c>
      <c r="E8" s="1" t="s">
        <v>13</v>
      </c>
      <c r="F8" s="6" t="s">
        <v>22</v>
      </c>
    </row>
    <row r="9" ht="15.0" customHeight="1">
      <c r="A9" s="1" t="s">
        <v>15</v>
      </c>
      <c r="B9" s="4">
        <v>4.0</v>
      </c>
      <c r="C9" s="1" t="s">
        <v>20</v>
      </c>
      <c r="D9" s="1" t="s">
        <v>21</v>
      </c>
      <c r="E9" s="1" t="s">
        <v>13</v>
      </c>
      <c r="F9" s="1" t="s">
        <v>22</v>
      </c>
    </row>
    <row r="10" ht="15.0" customHeight="1">
      <c r="A10" s="1" t="s">
        <v>16</v>
      </c>
      <c r="B10" s="4">
        <v>2.0</v>
      </c>
      <c r="C10" s="1" t="s">
        <v>20</v>
      </c>
      <c r="D10" s="1" t="s">
        <v>21</v>
      </c>
      <c r="E10" s="1" t="s">
        <v>13</v>
      </c>
      <c r="F10" s="1" t="s">
        <v>22</v>
      </c>
    </row>
    <row r="11" ht="11.25" customHeight="1">
      <c r="A11" s="1" t="s">
        <v>10</v>
      </c>
      <c r="B11" s="4">
        <v>1.0</v>
      </c>
      <c r="C11" s="1" t="s">
        <v>23</v>
      </c>
      <c r="D11" s="1" t="s">
        <v>24</v>
      </c>
      <c r="E11" s="1" t="s">
        <v>13</v>
      </c>
      <c r="F11" s="1" t="s">
        <v>25</v>
      </c>
    </row>
    <row r="12" ht="11.25" customHeight="1">
      <c r="A12" s="1" t="s">
        <v>15</v>
      </c>
      <c r="B12" s="4">
        <v>1.0</v>
      </c>
      <c r="C12" s="1" t="s">
        <v>23</v>
      </c>
      <c r="D12" s="1" t="s">
        <v>24</v>
      </c>
      <c r="E12" s="1" t="s">
        <v>13</v>
      </c>
      <c r="F12" s="1" t="s">
        <v>25</v>
      </c>
    </row>
    <row r="13" ht="11.25" customHeight="1">
      <c r="A13" s="1" t="s">
        <v>16</v>
      </c>
      <c r="B13" s="4">
        <v>1.0</v>
      </c>
      <c r="C13" s="1" t="s">
        <v>23</v>
      </c>
      <c r="D13" s="1" t="s">
        <v>24</v>
      </c>
      <c r="E13" s="1" t="s">
        <v>13</v>
      </c>
      <c r="F13" s="1" t="s">
        <v>25</v>
      </c>
    </row>
    <row r="14" ht="15.0" customHeight="1">
      <c r="A14" s="1" t="s">
        <v>26</v>
      </c>
      <c r="B14" s="4">
        <v>1.0</v>
      </c>
      <c r="C14" s="1" t="s">
        <v>23</v>
      </c>
      <c r="D14" s="1" t="s">
        <v>24</v>
      </c>
      <c r="E14" s="1" t="s">
        <v>13</v>
      </c>
      <c r="F14" s="1" t="s">
        <v>25</v>
      </c>
    </row>
    <row r="15" ht="15.0" customHeight="1">
      <c r="A15" s="1" t="s">
        <v>27</v>
      </c>
      <c r="B15" s="4">
        <v>9.0</v>
      </c>
      <c r="C15" s="1" t="s">
        <v>28</v>
      </c>
      <c r="D15" s="1" t="s">
        <v>29</v>
      </c>
      <c r="E15" s="1" t="s">
        <v>13</v>
      </c>
      <c r="F15" s="1" t="s">
        <v>30</v>
      </c>
    </row>
    <row r="16" ht="15.0" customHeight="1">
      <c r="A16" s="1" t="s">
        <v>31</v>
      </c>
      <c r="B16" s="4">
        <v>9.0</v>
      </c>
      <c r="C16" s="1" t="s">
        <v>28</v>
      </c>
      <c r="D16" s="1" t="s">
        <v>29</v>
      </c>
      <c r="E16" s="1" t="s">
        <v>13</v>
      </c>
      <c r="F16" s="1" t="s">
        <v>30</v>
      </c>
    </row>
    <row r="17" ht="11.25" customHeight="1">
      <c r="A17" s="1" t="s">
        <v>32</v>
      </c>
      <c r="B17" s="4">
        <v>2.0</v>
      </c>
      <c r="C17" s="1" t="s">
        <v>28</v>
      </c>
      <c r="D17" s="1" t="s">
        <v>33</v>
      </c>
      <c r="E17" s="1" t="s">
        <v>13</v>
      </c>
      <c r="F17" s="1" t="s">
        <v>34</v>
      </c>
    </row>
    <row r="18" ht="15.0" customHeight="1">
      <c r="A18" s="1" t="s">
        <v>26</v>
      </c>
      <c r="B18" s="4">
        <v>4.0</v>
      </c>
      <c r="C18" s="1" t="s">
        <v>35</v>
      </c>
      <c r="D18" s="1" t="s">
        <v>36</v>
      </c>
      <c r="E18" s="1" t="s">
        <v>13</v>
      </c>
      <c r="F18" s="1" t="s">
        <v>37</v>
      </c>
    </row>
    <row r="19" ht="11.25" customHeight="1">
      <c r="A19" s="1" t="s">
        <v>10</v>
      </c>
      <c r="B19" s="4">
        <v>1.0</v>
      </c>
      <c r="C19" s="1" t="s">
        <v>23</v>
      </c>
      <c r="D19" s="1" t="s">
        <v>38</v>
      </c>
      <c r="E19" s="1" t="s">
        <v>13</v>
      </c>
      <c r="F19" s="1" t="s">
        <v>39</v>
      </c>
    </row>
    <row r="20" ht="15.0" customHeight="1">
      <c r="A20" s="1" t="s">
        <v>27</v>
      </c>
      <c r="B20" s="4">
        <v>1.0</v>
      </c>
      <c r="C20" s="1" t="s">
        <v>23</v>
      </c>
      <c r="D20" s="1" t="s">
        <v>38</v>
      </c>
      <c r="E20" s="1" t="s">
        <v>13</v>
      </c>
      <c r="F20" s="1" t="s">
        <v>39</v>
      </c>
    </row>
    <row r="21" ht="11.25" customHeight="1">
      <c r="A21" s="1" t="s">
        <v>31</v>
      </c>
      <c r="B21" s="4">
        <v>1.0</v>
      </c>
      <c r="C21" s="1" t="s">
        <v>23</v>
      </c>
      <c r="D21" s="1" t="s">
        <v>38</v>
      </c>
      <c r="E21" s="1" t="s">
        <v>13</v>
      </c>
      <c r="F21" s="1" t="s">
        <v>39</v>
      </c>
    </row>
    <row r="22" ht="15.0" customHeight="1">
      <c r="A22" s="1" t="s">
        <v>17</v>
      </c>
      <c r="B22" s="4">
        <v>12.0</v>
      </c>
      <c r="C22" s="1" t="s">
        <v>40</v>
      </c>
      <c r="D22" s="1" t="s">
        <v>41</v>
      </c>
      <c r="E22" s="1" t="s">
        <v>13</v>
      </c>
      <c r="F22" s="1" t="s">
        <v>42</v>
      </c>
    </row>
    <row r="23" ht="11.25" customHeight="1">
      <c r="A23" s="1" t="s">
        <v>43</v>
      </c>
      <c r="B23" s="4">
        <v>10.0</v>
      </c>
      <c r="C23" s="1" t="s">
        <v>40</v>
      </c>
      <c r="D23" s="1" t="s">
        <v>41</v>
      </c>
      <c r="E23" s="1" t="s">
        <v>13</v>
      </c>
      <c r="F23" s="1" t="s">
        <v>42</v>
      </c>
    </row>
    <row r="24" ht="11.25" customHeight="1">
      <c r="A24" s="1" t="s">
        <v>44</v>
      </c>
      <c r="B24" s="4">
        <v>9.0</v>
      </c>
      <c r="C24" s="1" t="s">
        <v>40</v>
      </c>
      <c r="D24" s="1" t="s">
        <v>41</v>
      </c>
      <c r="E24" s="1" t="s">
        <v>13</v>
      </c>
      <c r="F24" s="1" t="s">
        <v>42</v>
      </c>
    </row>
    <row r="25" ht="11.25" customHeight="1">
      <c r="A25" s="1" t="s">
        <v>45</v>
      </c>
      <c r="B25" s="4">
        <v>10.0</v>
      </c>
      <c r="C25" s="1" t="s">
        <v>40</v>
      </c>
      <c r="D25" s="1" t="s">
        <v>41</v>
      </c>
      <c r="E25" s="1" t="s">
        <v>13</v>
      </c>
      <c r="F25" s="1" t="s">
        <v>42</v>
      </c>
    </row>
    <row r="26" ht="15.0" customHeight="1">
      <c r="A26" s="1" t="s">
        <v>46</v>
      </c>
      <c r="B26" s="4">
        <v>19.0</v>
      </c>
      <c r="C26" s="1" t="s">
        <v>40</v>
      </c>
      <c r="D26" s="1" t="s">
        <v>41</v>
      </c>
      <c r="E26" s="1" t="s">
        <v>13</v>
      </c>
      <c r="F26" s="1" t="s">
        <v>42</v>
      </c>
    </row>
    <row r="27" ht="11.25" customHeight="1">
      <c r="A27" s="1" t="s">
        <v>47</v>
      </c>
      <c r="B27" s="4">
        <v>10.0</v>
      </c>
      <c r="C27" s="1" t="s">
        <v>40</v>
      </c>
      <c r="D27" s="1" t="s">
        <v>41</v>
      </c>
      <c r="E27" s="1" t="s">
        <v>13</v>
      </c>
      <c r="F27" s="1" t="s">
        <v>42</v>
      </c>
    </row>
    <row r="28" ht="15.0" customHeight="1">
      <c r="A28" s="1" t="s">
        <v>48</v>
      </c>
      <c r="B28" s="4">
        <v>6.0</v>
      </c>
      <c r="C28" s="1" t="s">
        <v>40</v>
      </c>
      <c r="D28" s="1" t="s">
        <v>41</v>
      </c>
      <c r="E28" s="1" t="s">
        <v>13</v>
      </c>
      <c r="F28" s="1" t="s">
        <v>42</v>
      </c>
    </row>
    <row r="29" ht="15.0" customHeight="1">
      <c r="A29" s="1" t="s">
        <v>17</v>
      </c>
      <c r="B29" s="4">
        <v>5.0</v>
      </c>
      <c r="C29" s="1" t="s">
        <v>40</v>
      </c>
      <c r="D29" s="1" t="s">
        <v>49</v>
      </c>
      <c r="E29" s="1" t="s">
        <v>13</v>
      </c>
      <c r="F29" s="1" t="s">
        <v>50</v>
      </c>
    </row>
    <row r="30" ht="15.0" customHeight="1">
      <c r="A30" s="6" t="s">
        <v>44</v>
      </c>
      <c r="B30" s="4">
        <v>1.0</v>
      </c>
      <c r="C30" s="1" t="s">
        <v>40</v>
      </c>
      <c r="D30" s="1" t="s">
        <v>49</v>
      </c>
      <c r="E30" s="1" t="s">
        <v>13</v>
      </c>
      <c r="F30" s="6" t="s">
        <v>50</v>
      </c>
    </row>
    <row r="31" ht="15.0" customHeight="1">
      <c r="A31" s="6" t="s">
        <v>47</v>
      </c>
      <c r="B31" s="4">
        <v>1.0</v>
      </c>
      <c r="C31" s="1" t="s">
        <v>40</v>
      </c>
      <c r="D31" s="1" t="s">
        <v>49</v>
      </c>
      <c r="E31" s="1" t="s">
        <v>13</v>
      </c>
      <c r="F31" s="6" t="s">
        <v>50</v>
      </c>
    </row>
    <row r="32" ht="11.25" customHeight="1">
      <c r="A32" s="1" t="s">
        <v>51</v>
      </c>
      <c r="B32" s="4">
        <v>1.0</v>
      </c>
      <c r="C32" s="1" t="s">
        <v>23</v>
      </c>
      <c r="D32" s="1" t="s">
        <v>52</v>
      </c>
      <c r="E32" s="1" t="s">
        <v>13</v>
      </c>
      <c r="F32" s="1" t="s">
        <v>53</v>
      </c>
    </row>
    <row r="33" ht="15.0" customHeight="1">
      <c r="A33" s="1" t="s">
        <v>17</v>
      </c>
      <c r="B33" s="4">
        <v>1.0</v>
      </c>
      <c r="C33" s="1" t="s">
        <v>23</v>
      </c>
      <c r="D33" s="1" t="s">
        <v>52</v>
      </c>
      <c r="E33" s="1" t="s">
        <v>13</v>
      </c>
      <c r="F33" s="1" t="s">
        <v>53</v>
      </c>
    </row>
    <row r="34" ht="11.25" customHeight="1">
      <c r="A34" s="1" t="s">
        <v>43</v>
      </c>
      <c r="B34" s="4">
        <v>1.0</v>
      </c>
      <c r="C34" s="1" t="s">
        <v>23</v>
      </c>
      <c r="D34" s="1" t="s">
        <v>52</v>
      </c>
      <c r="E34" s="1" t="s">
        <v>13</v>
      </c>
      <c r="F34" s="1" t="s">
        <v>53</v>
      </c>
    </row>
    <row r="35" ht="15.0" customHeight="1">
      <c r="A35" s="1" t="s">
        <v>44</v>
      </c>
      <c r="B35" s="4">
        <v>1.0</v>
      </c>
      <c r="C35" s="1" t="s">
        <v>23</v>
      </c>
      <c r="D35" s="1" t="s">
        <v>52</v>
      </c>
      <c r="E35" s="1" t="s">
        <v>13</v>
      </c>
      <c r="F35" s="1" t="s">
        <v>53</v>
      </c>
    </row>
    <row r="36" ht="11.25" customHeight="1">
      <c r="A36" s="1" t="s">
        <v>45</v>
      </c>
      <c r="B36" s="4">
        <v>1.0</v>
      </c>
      <c r="C36" s="1" t="s">
        <v>23</v>
      </c>
      <c r="D36" s="1" t="s">
        <v>52</v>
      </c>
      <c r="E36" s="1" t="s">
        <v>13</v>
      </c>
      <c r="F36" s="1" t="s">
        <v>53</v>
      </c>
    </row>
    <row r="37" ht="11.25" customHeight="1">
      <c r="A37" s="1" t="s">
        <v>46</v>
      </c>
      <c r="B37" s="4">
        <v>1.0</v>
      </c>
      <c r="C37" s="1" t="s">
        <v>23</v>
      </c>
      <c r="D37" s="1" t="s">
        <v>52</v>
      </c>
      <c r="E37" s="1" t="s">
        <v>13</v>
      </c>
      <c r="F37" s="1" t="s">
        <v>53</v>
      </c>
    </row>
    <row r="38" ht="15.0" customHeight="1">
      <c r="A38" s="1" t="s">
        <v>54</v>
      </c>
      <c r="B38" s="4">
        <v>1.0</v>
      </c>
      <c r="C38" s="1" t="s">
        <v>23</v>
      </c>
      <c r="D38" s="1" t="s">
        <v>52</v>
      </c>
      <c r="E38" s="1" t="s">
        <v>13</v>
      </c>
      <c r="F38" s="1" t="s">
        <v>53</v>
      </c>
    </row>
    <row r="39" ht="11.25" customHeight="1">
      <c r="A39" s="1" t="s">
        <v>55</v>
      </c>
      <c r="B39" s="4">
        <v>18.0</v>
      </c>
      <c r="C39" s="1" t="s">
        <v>56</v>
      </c>
      <c r="D39" s="1" t="s">
        <v>57</v>
      </c>
      <c r="E39" s="1" t="s">
        <v>13</v>
      </c>
      <c r="F39" s="1" t="s">
        <v>58</v>
      </c>
    </row>
    <row r="40" ht="11.25" customHeight="1">
      <c r="A40" s="1" t="s">
        <v>59</v>
      </c>
      <c r="B40" s="4">
        <v>18.0</v>
      </c>
      <c r="C40" s="1" t="s">
        <v>56</v>
      </c>
      <c r="D40" s="1" t="s">
        <v>57</v>
      </c>
      <c r="E40" s="1" t="s">
        <v>13</v>
      </c>
      <c r="F40" s="1" t="s">
        <v>58</v>
      </c>
    </row>
    <row r="41" ht="15.0" customHeight="1">
      <c r="A41" s="1" t="s">
        <v>60</v>
      </c>
      <c r="B41" s="4">
        <v>1.0</v>
      </c>
      <c r="C41" s="1" t="s">
        <v>61</v>
      </c>
      <c r="D41" s="1" t="s">
        <v>62</v>
      </c>
      <c r="E41" s="1" t="s">
        <v>13</v>
      </c>
      <c r="F41" s="1" t="s">
        <v>63</v>
      </c>
    </row>
    <row r="42" ht="11.25" customHeight="1">
      <c r="A42" s="1" t="s">
        <v>64</v>
      </c>
      <c r="B42" s="4">
        <v>1.0</v>
      </c>
      <c r="C42" s="1" t="s">
        <v>61</v>
      </c>
      <c r="D42" s="1" t="s">
        <v>62</v>
      </c>
      <c r="E42" s="1" t="s">
        <v>13</v>
      </c>
      <c r="F42" s="1" t="s">
        <v>63</v>
      </c>
    </row>
    <row r="43" ht="11.25" customHeight="1">
      <c r="A43" s="1" t="s">
        <v>10</v>
      </c>
      <c r="B43" s="4">
        <v>2.0</v>
      </c>
      <c r="C43" s="1" t="s">
        <v>65</v>
      </c>
      <c r="D43" s="1" t="s">
        <v>66</v>
      </c>
      <c r="E43" s="1" t="s">
        <v>13</v>
      </c>
      <c r="F43" s="1" t="s">
        <v>67</v>
      </c>
    </row>
    <row r="44" ht="15.0" customHeight="1">
      <c r="A44" s="1" t="s">
        <v>16</v>
      </c>
      <c r="B44" s="4">
        <v>1.0</v>
      </c>
      <c r="C44" s="1" t="s">
        <v>68</v>
      </c>
      <c r="D44" s="1" t="s">
        <v>69</v>
      </c>
      <c r="E44" s="5"/>
      <c r="F44" s="1" t="s">
        <v>70</v>
      </c>
    </row>
    <row r="45" ht="11.25" customHeight="1">
      <c r="A45" s="1" t="s">
        <v>31</v>
      </c>
      <c r="B45" s="4">
        <v>1.0</v>
      </c>
      <c r="C45" s="1" t="s">
        <v>68</v>
      </c>
      <c r="D45" s="1" t="s">
        <v>69</v>
      </c>
      <c r="E45" s="5"/>
      <c r="F45" s="1" t="s">
        <v>70</v>
      </c>
    </row>
    <row r="46" ht="11.25" customHeight="1">
      <c r="A46" s="1" t="s">
        <v>26</v>
      </c>
      <c r="B46" s="4">
        <v>1.0</v>
      </c>
      <c r="C46" s="1" t="s">
        <v>68</v>
      </c>
      <c r="D46" s="1" t="s">
        <v>71</v>
      </c>
      <c r="E46" s="1" t="s">
        <v>13</v>
      </c>
      <c r="F46" s="1" t="s">
        <v>72</v>
      </c>
    </row>
    <row r="47" ht="15.0" customHeight="1">
      <c r="A47" s="1" t="s">
        <v>60</v>
      </c>
      <c r="B47" s="4">
        <v>4.0</v>
      </c>
      <c r="C47" s="1" t="s">
        <v>68</v>
      </c>
      <c r="D47" s="1" t="s">
        <v>73</v>
      </c>
      <c r="E47" s="5"/>
      <c r="F47" s="1" t="s">
        <v>74</v>
      </c>
    </row>
    <row r="48" ht="11.25" customHeight="1">
      <c r="A48" s="1" t="s">
        <v>27</v>
      </c>
      <c r="B48" s="4">
        <v>1.0</v>
      </c>
      <c r="C48" s="1" t="s">
        <v>68</v>
      </c>
      <c r="D48" s="1" t="s">
        <v>75</v>
      </c>
      <c r="E48" s="5"/>
      <c r="F48" s="1" t="s">
        <v>76</v>
      </c>
    </row>
    <row r="49" ht="11.25" customHeight="1">
      <c r="A49" s="1" t="s">
        <v>64</v>
      </c>
      <c r="B49" s="4">
        <v>4.0</v>
      </c>
      <c r="C49" s="1" t="s">
        <v>68</v>
      </c>
      <c r="D49" s="1" t="s">
        <v>75</v>
      </c>
      <c r="E49" s="5"/>
      <c r="F49" s="1" t="s">
        <v>76</v>
      </c>
    </row>
    <row r="50" ht="15.0" customHeight="1">
      <c r="A50" s="1" t="s">
        <v>77</v>
      </c>
      <c r="B50" s="4">
        <v>2.0</v>
      </c>
      <c r="C50" s="1" t="s">
        <v>11</v>
      </c>
      <c r="D50" s="1" t="s">
        <v>78</v>
      </c>
      <c r="E50" s="1" t="s">
        <v>13</v>
      </c>
      <c r="F50" s="1" t="s">
        <v>79</v>
      </c>
    </row>
    <row r="51" ht="15.0" customHeight="1">
      <c r="A51" s="1" t="s">
        <v>80</v>
      </c>
      <c r="B51" s="4">
        <v>1.0</v>
      </c>
      <c r="C51" s="1" t="s">
        <v>11</v>
      </c>
      <c r="D51" s="1" t="s">
        <v>78</v>
      </c>
      <c r="E51" s="1" t="s">
        <v>13</v>
      </c>
      <c r="F51" s="6" t="s">
        <v>79</v>
      </c>
    </row>
    <row r="52" ht="11.25" customHeight="1">
      <c r="A52" s="1" t="s">
        <v>77</v>
      </c>
      <c r="B52" s="4">
        <v>1.0</v>
      </c>
      <c r="C52" s="1" t="s">
        <v>61</v>
      </c>
      <c r="D52" s="1" t="s">
        <v>81</v>
      </c>
      <c r="E52" s="5"/>
      <c r="F52" s="1" t="s">
        <v>82</v>
      </c>
    </row>
    <row r="53" ht="11.25" customHeight="1">
      <c r="A53" s="1" t="s">
        <v>77</v>
      </c>
      <c r="B53" s="4">
        <v>1.0</v>
      </c>
      <c r="C53" s="1" t="s">
        <v>68</v>
      </c>
      <c r="D53" s="1" t="s">
        <v>83</v>
      </c>
      <c r="E53" s="5"/>
      <c r="F53" s="1" t="s">
        <v>84</v>
      </c>
    </row>
    <row r="54" ht="11.25" customHeight="1">
      <c r="A54" s="6" t="s">
        <v>85</v>
      </c>
      <c r="B54" s="4">
        <v>1.0</v>
      </c>
      <c r="C54" s="1" t="s">
        <v>86</v>
      </c>
      <c r="D54" s="1" t="s">
        <v>87</v>
      </c>
      <c r="E54" s="1" t="s">
        <v>13</v>
      </c>
      <c r="F54" s="6" t="s">
        <v>88</v>
      </c>
    </row>
    <row r="55" ht="11.25" customHeight="1">
      <c r="A55" s="6" t="s">
        <v>89</v>
      </c>
      <c r="B55" s="4">
        <v>1.0</v>
      </c>
      <c r="C55" s="1" t="s">
        <v>86</v>
      </c>
      <c r="D55" s="1" t="s">
        <v>90</v>
      </c>
      <c r="E55" s="5"/>
      <c r="F55" s="6" t="s">
        <v>91</v>
      </c>
    </row>
    <row r="56" ht="11.25" customHeight="1">
      <c r="A56" s="1" t="s">
        <v>92</v>
      </c>
      <c r="B56" s="4">
        <v>2.0</v>
      </c>
      <c r="C56" s="1" t="s">
        <v>93</v>
      </c>
      <c r="D56" s="1" t="s">
        <v>94</v>
      </c>
      <c r="E56" s="1" t="s">
        <v>13</v>
      </c>
      <c r="F56" s="1" t="s">
        <v>95</v>
      </c>
    </row>
    <row r="57" ht="11.25" customHeight="1">
      <c r="A57" s="6" t="s">
        <v>80</v>
      </c>
      <c r="B57" s="4">
        <v>1.0</v>
      </c>
      <c r="C57" s="1" t="s">
        <v>93</v>
      </c>
      <c r="D57" s="1" t="s">
        <v>94</v>
      </c>
      <c r="E57" s="1" t="s">
        <v>13</v>
      </c>
      <c r="F57" s="6" t="s">
        <v>95</v>
      </c>
    </row>
    <row r="58" ht="15.75" customHeight="1">
      <c r="A58" s="1" t="s">
        <v>92</v>
      </c>
      <c r="B58" s="4">
        <v>1.0</v>
      </c>
      <c r="C58" s="1" t="s">
        <v>61</v>
      </c>
      <c r="D58" s="1" t="s">
        <v>96</v>
      </c>
      <c r="E58" s="5"/>
      <c r="F58" s="1" t="s">
        <v>97</v>
      </c>
    </row>
    <row r="59" ht="15.75" customHeight="1">
      <c r="A59" s="1" t="s">
        <v>80</v>
      </c>
      <c r="B59" s="4">
        <v>1.0</v>
      </c>
      <c r="C59" s="1" t="s">
        <v>61</v>
      </c>
      <c r="D59" s="1" t="s">
        <v>96</v>
      </c>
      <c r="E59" s="5"/>
      <c r="F59" s="1" t="s">
        <v>97</v>
      </c>
    </row>
    <row r="60" ht="15.75" customHeight="1">
      <c r="A60" s="6" t="s">
        <v>85</v>
      </c>
      <c r="B60" s="4">
        <v>1.0</v>
      </c>
      <c r="C60" s="1" t="s">
        <v>61</v>
      </c>
      <c r="D60" s="1" t="s">
        <v>96</v>
      </c>
      <c r="E60" s="5"/>
      <c r="F60" s="6" t="s">
        <v>97</v>
      </c>
    </row>
    <row r="61" ht="15.75" customHeight="1">
      <c r="A61" s="6" t="s">
        <v>89</v>
      </c>
      <c r="B61" s="4">
        <v>1.0</v>
      </c>
      <c r="C61" s="1" t="s">
        <v>61</v>
      </c>
      <c r="D61" s="1" t="s">
        <v>96</v>
      </c>
      <c r="E61" s="5"/>
      <c r="F61" s="6" t="s">
        <v>97</v>
      </c>
    </row>
    <row r="62" ht="15.75" customHeight="1">
      <c r="A62" s="1" t="s">
        <v>92</v>
      </c>
      <c r="B62" s="4">
        <v>1.0</v>
      </c>
      <c r="C62" s="1" t="s">
        <v>68</v>
      </c>
      <c r="D62" s="1" t="s">
        <v>98</v>
      </c>
      <c r="E62" s="5"/>
      <c r="F62" s="1" t="s">
        <v>99</v>
      </c>
    </row>
    <row r="63" ht="15.75" customHeight="1">
      <c r="A63" s="1" t="s">
        <v>51</v>
      </c>
      <c r="B63" s="4">
        <v>1.0</v>
      </c>
      <c r="C63" s="1" t="s">
        <v>100</v>
      </c>
      <c r="D63" s="1" t="s">
        <v>101</v>
      </c>
      <c r="E63" s="1" t="s">
        <v>13</v>
      </c>
      <c r="F63" s="1" t="s">
        <v>102</v>
      </c>
    </row>
    <row r="64" ht="15.75" customHeight="1">
      <c r="A64" s="1" t="s">
        <v>103</v>
      </c>
      <c r="B64" s="4">
        <v>2.0</v>
      </c>
      <c r="C64" s="1" t="s">
        <v>100</v>
      </c>
      <c r="D64" s="1" t="s">
        <v>101</v>
      </c>
      <c r="E64" s="1" t="s">
        <v>13</v>
      </c>
      <c r="F64" s="6" t="s">
        <v>102</v>
      </c>
    </row>
    <row r="65" ht="15.75" customHeight="1">
      <c r="A65" s="1" t="s">
        <v>10</v>
      </c>
      <c r="B65" s="4">
        <v>2.0</v>
      </c>
      <c r="C65" s="1" t="s">
        <v>100</v>
      </c>
      <c r="D65" s="1" t="s">
        <v>101</v>
      </c>
      <c r="E65" s="1" t="s">
        <v>13</v>
      </c>
      <c r="F65" s="1" t="s">
        <v>102</v>
      </c>
    </row>
    <row r="66" ht="15.75" customHeight="1">
      <c r="A66" s="1" t="s">
        <v>15</v>
      </c>
      <c r="B66" s="4">
        <v>1.0</v>
      </c>
      <c r="C66" s="1" t="s">
        <v>100</v>
      </c>
      <c r="D66" s="1" t="s">
        <v>101</v>
      </c>
      <c r="E66" s="1" t="s">
        <v>13</v>
      </c>
      <c r="F66" s="1" t="s">
        <v>102</v>
      </c>
    </row>
    <row r="67" ht="15.75" customHeight="1">
      <c r="A67" s="1" t="s">
        <v>16</v>
      </c>
      <c r="B67" s="4">
        <v>1.0</v>
      </c>
      <c r="C67" s="1" t="s">
        <v>100</v>
      </c>
      <c r="D67" s="1" t="s">
        <v>101</v>
      </c>
      <c r="E67" s="1" t="s">
        <v>13</v>
      </c>
      <c r="F67" s="1" t="s">
        <v>102</v>
      </c>
    </row>
    <row r="68" ht="15.75" customHeight="1">
      <c r="A68" s="1" t="s">
        <v>17</v>
      </c>
      <c r="B68" s="4">
        <v>1.0</v>
      </c>
      <c r="C68" s="1" t="s">
        <v>100</v>
      </c>
      <c r="D68" s="1" t="s">
        <v>101</v>
      </c>
      <c r="E68" s="1" t="s">
        <v>13</v>
      </c>
      <c r="F68" s="1" t="s">
        <v>102</v>
      </c>
    </row>
    <row r="69" ht="15.75" customHeight="1">
      <c r="A69" s="1" t="s">
        <v>43</v>
      </c>
      <c r="B69" s="4">
        <v>1.0</v>
      </c>
      <c r="C69" s="1" t="s">
        <v>100</v>
      </c>
      <c r="D69" s="1" t="s">
        <v>101</v>
      </c>
      <c r="E69" s="1" t="s">
        <v>13</v>
      </c>
      <c r="F69" s="1" t="s">
        <v>102</v>
      </c>
    </row>
    <row r="70" ht="15.75" customHeight="1">
      <c r="A70" s="1" t="s">
        <v>44</v>
      </c>
      <c r="B70" s="4">
        <v>1.0</v>
      </c>
      <c r="C70" s="1" t="s">
        <v>100</v>
      </c>
      <c r="D70" s="1" t="s">
        <v>101</v>
      </c>
      <c r="E70" s="1" t="s">
        <v>13</v>
      </c>
      <c r="F70" s="1" t="s">
        <v>102</v>
      </c>
    </row>
    <row r="71" ht="15.75" customHeight="1">
      <c r="A71" s="1" t="s">
        <v>45</v>
      </c>
      <c r="B71" s="4">
        <v>1.0</v>
      </c>
      <c r="C71" s="1" t="s">
        <v>100</v>
      </c>
      <c r="D71" s="1" t="s">
        <v>101</v>
      </c>
      <c r="E71" s="1" t="s">
        <v>13</v>
      </c>
      <c r="F71" s="1" t="s">
        <v>102</v>
      </c>
    </row>
    <row r="72" ht="15.75" customHeight="1">
      <c r="A72" s="1" t="s">
        <v>46</v>
      </c>
      <c r="B72" s="4">
        <v>1.0</v>
      </c>
      <c r="C72" s="1" t="s">
        <v>100</v>
      </c>
      <c r="D72" s="1" t="s">
        <v>101</v>
      </c>
      <c r="E72" s="1" t="s">
        <v>13</v>
      </c>
      <c r="F72" s="1" t="s">
        <v>102</v>
      </c>
    </row>
    <row r="73" ht="15.75" customHeight="1">
      <c r="A73" s="1" t="s">
        <v>27</v>
      </c>
      <c r="B73" s="4">
        <v>1.0</v>
      </c>
      <c r="C73" s="1" t="s">
        <v>100</v>
      </c>
      <c r="D73" s="1" t="s">
        <v>101</v>
      </c>
      <c r="E73" s="1" t="s">
        <v>13</v>
      </c>
      <c r="F73" s="1" t="s">
        <v>102</v>
      </c>
    </row>
    <row r="74" ht="15.75" customHeight="1">
      <c r="A74" s="1" t="s">
        <v>77</v>
      </c>
      <c r="B74" s="4">
        <v>1.0</v>
      </c>
      <c r="C74" s="1" t="s">
        <v>100</v>
      </c>
      <c r="D74" s="1" t="s">
        <v>101</v>
      </c>
      <c r="E74" s="1" t="s">
        <v>13</v>
      </c>
      <c r="F74" s="1" t="s">
        <v>102</v>
      </c>
    </row>
    <row r="75" ht="15.75" customHeight="1">
      <c r="A75" s="1" t="s">
        <v>31</v>
      </c>
      <c r="B75" s="4">
        <v>1.0</v>
      </c>
      <c r="C75" s="1" t="s">
        <v>100</v>
      </c>
      <c r="D75" s="1" t="s">
        <v>101</v>
      </c>
      <c r="E75" s="1" t="s">
        <v>13</v>
      </c>
      <c r="F75" s="1" t="s">
        <v>102</v>
      </c>
    </row>
    <row r="76" ht="15.75" customHeight="1">
      <c r="A76" s="1" t="s">
        <v>92</v>
      </c>
      <c r="B76" s="4">
        <v>1.0</v>
      </c>
      <c r="C76" s="1" t="s">
        <v>100</v>
      </c>
      <c r="D76" s="1" t="s">
        <v>101</v>
      </c>
      <c r="E76" s="1" t="s">
        <v>13</v>
      </c>
      <c r="F76" s="1" t="s">
        <v>102</v>
      </c>
    </row>
    <row r="77" ht="15.75" customHeight="1">
      <c r="A77" s="1" t="s">
        <v>80</v>
      </c>
      <c r="B77" s="4">
        <v>1.0</v>
      </c>
      <c r="C77" s="1" t="s">
        <v>100</v>
      </c>
      <c r="D77" s="1" t="s">
        <v>101</v>
      </c>
      <c r="E77" s="1" t="s">
        <v>13</v>
      </c>
      <c r="F77" s="1" t="s">
        <v>102</v>
      </c>
    </row>
    <row r="78" ht="15.75" customHeight="1">
      <c r="A78" s="1" t="s">
        <v>26</v>
      </c>
      <c r="B78" s="4">
        <v>1.0</v>
      </c>
      <c r="C78" s="1" t="s">
        <v>100</v>
      </c>
      <c r="D78" s="1" t="s">
        <v>101</v>
      </c>
      <c r="E78" s="1" t="s">
        <v>13</v>
      </c>
      <c r="F78" s="1" t="s">
        <v>102</v>
      </c>
    </row>
    <row r="79" ht="15.75" customHeight="1">
      <c r="A79" s="6" t="s">
        <v>85</v>
      </c>
      <c r="B79" s="4">
        <v>1.0</v>
      </c>
      <c r="C79" s="1" t="s">
        <v>100</v>
      </c>
      <c r="D79" s="1" t="s">
        <v>101</v>
      </c>
      <c r="E79" s="1" t="s">
        <v>13</v>
      </c>
      <c r="F79" s="6" t="s">
        <v>102</v>
      </c>
    </row>
    <row r="80" ht="15.75" customHeight="1">
      <c r="A80" s="6" t="s">
        <v>89</v>
      </c>
      <c r="B80" s="4">
        <v>1.0</v>
      </c>
      <c r="C80" s="1" t="s">
        <v>100</v>
      </c>
      <c r="D80" s="1" t="s">
        <v>101</v>
      </c>
      <c r="E80" s="1" t="s">
        <v>13</v>
      </c>
      <c r="F80" s="6" t="s">
        <v>102</v>
      </c>
    </row>
    <row r="81" ht="15.75" customHeight="1">
      <c r="A81" s="1" t="s">
        <v>60</v>
      </c>
      <c r="B81" s="4">
        <v>1.0</v>
      </c>
      <c r="C81" s="1" t="s">
        <v>100</v>
      </c>
      <c r="D81" s="1" t="s">
        <v>101</v>
      </c>
      <c r="E81" s="1" t="s">
        <v>13</v>
      </c>
      <c r="F81" s="1" t="s">
        <v>102</v>
      </c>
    </row>
    <row r="82" ht="15.75" customHeight="1">
      <c r="A82" s="1" t="s">
        <v>54</v>
      </c>
      <c r="B82" s="4">
        <v>1.0</v>
      </c>
      <c r="C82" s="1" t="s">
        <v>100</v>
      </c>
      <c r="D82" s="1" t="s">
        <v>101</v>
      </c>
      <c r="E82" s="1" t="s">
        <v>13</v>
      </c>
      <c r="F82" s="1" t="s">
        <v>102</v>
      </c>
    </row>
    <row r="83" ht="15.75" customHeight="1">
      <c r="A83" s="1" t="s">
        <v>64</v>
      </c>
      <c r="B83" s="4">
        <v>1.0</v>
      </c>
      <c r="C83" s="1" t="s">
        <v>100</v>
      </c>
      <c r="D83" s="1" t="s">
        <v>101</v>
      </c>
      <c r="E83" s="1" t="s">
        <v>13</v>
      </c>
      <c r="F83" s="1" t="s">
        <v>102</v>
      </c>
    </row>
    <row r="84" ht="15.75" customHeight="1">
      <c r="A84" s="1" t="s">
        <v>51</v>
      </c>
      <c r="B84" s="4">
        <v>1.0</v>
      </c>
      <c r="C84" s="1" t="s">
        <v>104</v>
      </c>
      <c r="D84" s="1" t="s">
        <v>105</v>
      </c>
      <c r="E84" s="1" t="s">
        <v>13</v>
      </c>
      <c r="F84" s="1" t="s">
        <v>106</v>
      </c>
    </row>
    <row r="85" ht="15.75" customHeight="1">
      <c r="A85" s="1" t="s">
        <v>10</v>
      </c>
      <c r="B85" s="4">
        <v>2.0</v>
      </c>
      <c r="C85" s="1" t="s">
        <v>104</v>
      </c>
      <c r="D85" s="1" t="s">
        <v>105</v>
      </c>
      <c r="E85" s="1" t="s">
        <v>13</v>
      </c>
      <c r="F85" s="1" t="s">
        <v>106</v>
      </c>
    </row>
    <row r="86" ht="15.75" customHeight="1">
      <c r="A86" s="1" t="s">
        <v>15</v>
      </c>
      <c r="B86" s="4">
        <v>1.0</v>
      </c>
      <c r="C86" s="1" t="s">
        <v>104</v>
      </c>
      <c r="D86" s="1" t="s">
        <v>105</v>
      </c>
      <c r="E86" s="1" t="s">
        <v>13</v>
      </c>
      <c r="F86" s="1" t="s">
        <v>106</v>
      </c>
    </row>
    <row r="87" ht="15.75" customHeight="1">
      <c r="A87" s="1" t="s">
        <v>16</v>
      </c>
      <c r="B87" s="4">
        <v>1.0</v>
      </c>
      <c r="C87" s="1" t="s">
        <v>104</v>
      </c>
      <c r="D87" s="1" t="s">
        <v>105</v>
      </c>
      <c r="E87" s="1" t="s">
        <v>13</v>
      </c>
      <c r="F87" s="1" t="s">
        <v>106</v>
      </c>
    </row>
    <row r="88" ht="15.75" customHeight="1">
      <c r="A88" s="1" t="s">
        <v>17</v>
      </c>
      <c r="B88" s="4">
        <v>1.0</v>
      </c>
      <c r="C88" s="1" t="s">
        <v>104</v>
      </c>
      <c r="D88" s="1" t="s">
        <v>105</v>
      </c>
      <c r="E88" s="1" t="s">
        <v>13</v>
      </c>
      <c r="F88" s="1" t="s">
        <v>106</v>
      </c>
    </row>
    <row r="89" ht="15.75" customHeight="1">
      <c r="A89" s="1" t="s">
        <v>43</v>
      </c>
      <c r="B89" s="4">
        <v>1.0</v>
      </c>
      <c r="C89" s="1" t="s">
        <v>104</v>
      </c>
      <c r="D89" s="1" t="s">
        <v>105</v>
      </c>
      <c r="E89" s="1" t="s">
        <v>13</v>
      </c>
      <c r="F89" s="1" t="s">
        <v>106</v>
      </c>
    </row>
    <row r="90" ht="15.75" customHeight="1">
      <c r="A90" s="1" t="s">
        <v>44</v>
      </c>
      <c r="B90" s="4">
        <v>1.0</v>
      </c>
      <c r="C90" s="1" t="s">
        <v>104</v>
      </c>
      <c r="D90" s="1" t="s">
        <v>105</v>
      </c>
      <c r="E90" s="1" t="s">
        <v>13</v>
      </c>
      <c r="F90" s="1" t="s">
        <v>106</v>
      </c>
    </row>
    <row r="91" ht="15.75" customHeight="1">
      <c r="A91" s="1" t="s">
        <v>45</v>
      </c>
      <c r="B91" s="4">
        <v>1.0</v>
      </c>
      <c r="C91" s="1" t="s">
        <v>104</v>
      </c>
      <c r="D91" s="1" t="s">
        <v>105</v>
      </c>
      <c r="E91" s="1" t="s">
        <v>13</v>
      </c>
      <c r="F91" s="1" t="s">
        <v>106</v>
      </c>
    </row>
    <row r="92" ht="15.75" customHeight="1">
      <c r="A92" s="1" t="s">
        <v>46</v>
      </c>
      <c r="B92" s="4">
        <v>1.0</v>
      </c>
      <c r="C92" s="1" t="s">
        <v>104</v>
      </c>
      <c r="D92" s="1" t="s">
        <v>105</v>
      </c>
      <c r="E92" s="1" t="s">
        <v>13</v>
      </c>
      <c r="F92" s="1" t="s">
        <v>106</v>
      </c>
    </row>
    <row r="93" ht="15.75" customHeight="1">
      <c r="A93" s="1" t="s">
        <v>27</v>
      </c>
      <c r="B93" s="4">
        <v>1.0</v>
      </c>
      <c r="C93" s="1" t="s">
        <v>104</v>
      </c>
      <c r="D93" s="1" t="s">
        <v>105</v>
      </c>
      <c r="E93" s="1" t="s">
        <v>13</v>
      </c>
      <c r="F93" s="1" t="s">
        <v>106</v>
      </c>
    </row>
    <row r="94" ht="15.75" customHeight="1">
      <c r="A94" s="1" t="s">
        <v>77</v>
      </c>
      <c r="B94" s="4">
        <v>1.0</v>
      </c>
      <c r="C94" s="1" t="s">
        <v>104</v>
      </c>
      <c r="D94" s="1" t="s">
        <v>105</v>
      </c>
      <c r="E94" s="1" t="s">
        <v>13</v>
      </c>
      <c r="F94" s="1" t="s">
        <v>106</v>
      </c>
    </row>
    <row r="95" ht="15.75" customHeight="1">
      <c r="A95" s="1" t="s">
        <v>31</v>
      </c>
      <c r="B95" s="4">
        <v>1.0</v>
      </c>
      <c r="C95" s="1" t="s">
        <v>104</v>
      </c>
      <c r="D95" s="1" t="s">
        <v>105</v>
      </c>
      <c r="E95" s="1" t="s">
        <v>13</v>
      </c>
      <c r="F95" s="1" t="s">
        <v>106</v>
      </c>
    </row>
    <row r="96" ht="15.75" customHeight="1">
      <c r="A96" s="1" t="s">
        <v>92</v>
      </c>
      <c r="B96" s="4">
        <v>1.0</v>
      </c>
      <c r="C96" s="1" t="s">
        <v>104</v>
      </c>
      <c r="D96" s="1" t="s">
        <v>105</v>
      </c>
      <c r="E96" s="1" t="s">
        <v>13</v>
      </c>
      <c r="F96" s="1" t="s">
        <v>106</v>
      </c>
    </row>
    <row r="97" ht="15.75" customHeight="1">
      <c r="A97" s="1" t="s">
        <v>80</v>
      </c>
      <c r="B97" s="4">
        <v>1.0</v>
      </c>
      <c r="C97" s="1" t="s">
        <v>104</v>
      </c>
      <c r="D97" s="1" t="s">
        <v>105</v>
      </c>
      <c r="E97" s="1" t="s">
        <v>13</v>
      </c>
      <c r="F97" s="1" t="s">
        <v>106</v>
      </c>
    </row>
    <row r="98" ht="15.75" customHeight="1">
      <c r="A98" s="1" t="s">
        <v>26</v>
      </c>
      <c r="B98" s="4">
        <v>1.0</v>
      </c>
      <c r="C98" s="1" t="s">
        <v>104</v>
      </c>
      <c r="D98" s="1" t="s">
        <v>105</v>
      </c>
      <c r="E98" s="1" t="s">
        <v>13</v>
      </c>
      <c r="F98" s="1" t="s">
        <v>106</v>
      </c>
    </row>
    <row r="99" ht="15.75" customHeight="1">
      <c r="A99" s="1" t="s">
        <v>60</v>
      </c>
      <c r="B99" s="4">
        <v>1.0</v>
      </c>
      <c r="C99" s="1" t="s">
        <v>104</v>
      </c>
      <c r="D99" s="1" t="s">
        <v>105</v>
      </c>
      <c r="E99" s="1" t="s">
        <v>13</v>
      </c>
      <c r="F99" s="1" t="s">
        <v>106</v>
      </c>
    </row>
    <row r="100" ht="15.75" customHeight="1">
      <c r="A100" s="1" t="s">
        <v>54</v>
      </c>
      <c r="B100" s="4">
        <v>1.0</v>
      </c>
      <c r="C100" s="1" t="s">
        <v>104</v>
      </c>
      <c r="D100" s="1" t="s">
        <v>105</v>
      </c>
      <c r="E100" s="1" t="s">
        <v>13</v>
      </c>
      <c r="F100" s="1" t="s">
        <v>106</v>
      </c>
    </row>
    <row r="101" ht="15.75" customHeight="1">
      <c r="A101" s="1" t="s">
        <v>64</v>
      </c>
      <c r="B101" s="4">
        <v>1.0</v>
      </c>
      <c r="C101" s="1" t="s">
        <v>104</v>
      </c>
      <c r="D101" s="1" t="s">
        <v>105</v>
      </c>
      <c r="E101" s="1" t="s">
        <v>13</v>
      </c>
      <c r="F101" s="1" t="s">
        <v>106</v>
      </c>
    </row>
    <row r="102" ht="15.75" customHeight="1">
      <c r="A102" s="6" t="s">
        <v>103</v>
      </c>
      <c r="B102" s="4">
        <v>1.0</v>
      </c>
      <c r="C102" s="1" t="s">
        <v>23</v>
      </c>
      <c r="D102" s="1" t="s">
        <v>107</v>
      </c>
      <c r="E102" s="7"/>
      <c r="F102" s="6" t="s">
        <v>108</v>
      </c>
    </row>
    <row r="103" ht="15.75" customHeight="1">
      <c r="A103" s="6" t="s">
        <v>103</v>
      </c>
      <c r="B103" s="4">
        <v>2.0</v>
      </c>
      <c r="C103" s="1" t="s">
        <v>109</v>
      </c>
      <c r="D103" s="1" t="s">
        <v>110</v>
      </c>
      <c r="E103" s="5"/>
      <c r="F103" s="6" t="s">
        <v>111</v>
      </c>
    </row>
    <row r="104" ht="15.75" customHeight="1">
      <c r="A104" s="6" t="s">
        <v>103</v>
      </c>
      <c r="B104" s="4">
        <v>1.0</v>
      </c>
      <c r="C104" s="1" t="s">
        <v>112</v>
      </c>
      <c r="D104" s="1" t="s">
        <v>113</v>
      </c>
      <c r="E104" s="5"/>
      <c r="F104" s="6" t="s">
        <v>114</v>
      </c>
    </row>
    <row r="105" ht="15.75" customHeight="1">
      <c r="A105" s="1" t="s">
        <v>115</v>
      </c>
      <c r="B105" s="4">
        <v>1.0</v>
      </c>
      <c r="C105" s="1" t="s">
        <v>112</v>
      </c>
      <c r="D105" s="1" t="s">
        <v>113</v>
      </c>
      <c r="E105" s="5"/>
      <c r="F105" s="6" t="s">
        <v>114</v>
      </c>
    </row>
    <row r="106" ht="15.75" customHeight="1">
      <c r="A106" s="1" t="s">
        <v>116</v>
      </c>
      <c r="B106" s="4">
        <v>1.0</v>
      </c>
      <c r="C106" s="1" t="s">
        <v>112</v>
      </c>
      <c r="D106" s="1" t="s">
        <v>113</v>
      </c>
      <c r="E106" s="7"/>
      <c r="F106" s="6" t="s">
        <v>114</v>
      </c>
    </row>
    <row r="107" ht="15.75" customHeight="1">
      <c r="A107" s="6" t="s">
        <v>117</v>
      </c>
      <c r="B107" s="4">
        <v>1.0</v>
      </c>
      <c r="C107" s="1" t="s">
        <v>118</v>
      </c>
      <c r="D107" s="1" t="s">
        <v>119</v>
      </c>
      <c r="E107" s="1" t="s">
        <v>120</v>
      </c>
      <c r="F107" s="6" t="s">
        <v>121</v>
      </c>
    </row>
    <row r="108" ht="15.75" customHeight="1">
      <c r="A108" s="6" t="s">
        <v>122</v>
      </c>
      <c r="B108" s="4">
        <v>1.0</v>
      </c>
      <c r="C108" s="1" t="s">
        <v>118</v>
      </c>
      <c r="D108" s="1" t="s">
        <v>119</v>
      </c>
      <c r="E108" s="1" t="s">
        <v>120</v>
      </c>
      <c r="F108" s="6" t="s">
        <v>121</v>
      </c>
    </row>
    <row r="109" ht="15.75" customHeight="1">
      <c r="A109" s="6" t="s">
        <v>123</v>
      </c>
      <c r="B109" s="4">
        <v>1.0</v>
      </c>
      <c r="C109" s="1" t="s">
        <v>118</v>
      </c>
      <c r="D109" s="1" t="s">
        <v>119</v>
      </c>
      <c r="E109" s="1" t="s">
        <v>120</v>
      </c>
      <c r="F109" s="6" t="s">
        <v>121</v>
      </c>
    </row>
    <row r="110" ht="15.75" customHeight="1">
      <c r="A110" s="6" t="s">
        <v>124</v>
      </c>
      <c r="B110" s="4">
        <v>1.0</v>
      </c>
      <c r="C110" s="1" t="s">
        <v>118</v>
      </c>
      <c r="D110" s="1" t="s">
        <v>119</v>
      </c>
      <c r="E110" s="1" t="s">
        <v>120</v>
      </c>
      <c r="F110" s="6" t="s">
        <v>121</v>
      </c>
    </row>
    <row r="111" ht="15.75" customHeight="1">
      <c r="A111" s="6" t="s">
        <v>125</v>
      </c>
      <c r="B111" s="4">
        <v>1.0</v>
      </c>
      <c r="C111" s="1" t="s">
        <v>126</v>
      </c>
      <c r="D111" s="1" t="s">
        <v>127</v>
      </c>
      <c r="E111" s="1" t="s">
        <v>120</v>
      </c>
      <c r="F111" s="6" t="s">
        <v>128</v>
      </c>
    </row>
    <row r="112" ht="15.75" customHeight="1">
      <c r="A112" s="6" t="s">
        <v>123</v>
      </c>
      <c r="B112" s="4">
        <v>1.0</v>
      </c>
      <c r="C112" s="1" t="s">
        <v>129</v>
      </c>
      <c r="D112" s="1" t="s">
        <v>130</v>
      </c>
      <c r="E112" s="1" t="s">
        <v>120</v>
      </c>
      <c r="F112" s="6" t="s">
        <v>131</v>
      </c>
    </row>
    <row r="113" ht="15.75" customHeight="1">
      <c r="A113" s="6" t="s">
        <v>124</v>
      </c>
      <c r="B113" s="4">
        <v>1.0</v>
      </c>
      <c r="C113" s="1" t="s">
        <v>129</v>
      </c>
      <c r="D113" s="1" t="s">
        <v>130</v>
      </c>
      <c r="E113" s="1" t="s">
        <v>120</v>
      </c>
      <c r="F113" s="6" t="s">
        <v>131</v>
      </c>
    </row>
    <row r="114" ht="15.75" customHeight="1">
      <c r="A114" s="6" t="s">
        <v>117</v>
      </c>
      <c r="B114" s="4">
        <v>1.0</v>
      </c>
      <c r="C114" s="1" t="s">
        <v>132</v>
      </c>
      <c r="D114" s="1" t="s">
        <v>133</v>
      </c>
      <c r="E114" s="1" t="s">
        <v>120</v>
      </c>
      <c r="F114" s="6" t="s">
        <v>134</v>
      </c>
    </row>
    <row r="115" ht="15.75" customHeight="1">
      <c r="A115" s="6" t="s">
        <v>122</v>
      </c>
      <c r="B115" s="4">
        <v>1.0</v>
      </c>
      <c r="C115" s="1" t="s">
        <v>132</v>
      </c>
      <c r="D115" s="1" t="s">
        <v>133</v>
      </c>
      <c r="E115" s="1" t="s">
        <v>120</v>
      </c>
      <c r="F115" s="6" t="s">
        <v>134</v>
      </c>
    </row>
    <row r="116" ht="15.75" customHeight="1">
      <c r="A116" s="1" t="s">
        <v>117</v>
      </c>
      <c r="B116" s="4">
        <v>1.0</v>
      </c>
      <c r="C116" s="1" t="s">
        <v>135</v>
      </c>
      <c r="D116" s="1" t="s">
        <v>136</v>
      </c>
      <c r="E116" s="1" t="s">
        <v>120</v>
      </c>
      <c r="F116" s="6" t="s">
        <v>137</v>
      </c>
    </row>
    <row r="117" ht="15.75" customHeight="1">
      <c r="A117" s="1" t="s">
        <v>122</v>
      </c>
      <c r="B117" s="4">
        <v>1.0</v>
      </c>
      <c r="C117" s="1" t="s">
        <v>135</v>
      </c>
      <c r="D117" s="1" t="s">
        <v>136</v>
      </c>
      <c r="E117" s="1" t="s">
        <v>120</v>
      </c>
      <c r="F117" s="6" t="s">
        <v>137</v>
      </c>
    </row>
    <row r="118" ht="15.75" customHeight="1">
      <c r="A118" s="1" t="s">
        <v>123</v>
      </c>
      <c r="B118" s="4">
        <v>1.0</v>
      </c>
      <c r="C118" s="1" t="s">
        <v>135</v>
      </c>
      <c r="D118" s="1" t="s">
        <v>136</v>
      </c>
      <c r="E118" s="1" t="s">
        <v>120</v>
      </c>
      <c r="F118" s="6" t="s">
        <v>137</v>
      </c>
    </row>
    <row r="119" ht="15.75" customHeight="1">
      <c r="A119" s="1" t="s">
        <v>124</v>
      </c>
      <c r="B119" s="4">
        <v>1.0</v>
      </c>
      <c r="C119" s="1" t="s">
        <v>135</v>
      </c>
      <c r="D119" s="1" t="s">
        <v>136</v>
      </c>
      <c r="E119" s="1" t="s">
        <v>120</v>
      </c>
      <c r="F119" s="6" t="s">
        <v>137</v>
      </c>
    </row>
    <row r="120" ht="15.75" customHeight="1">
      <c r="A120" s="1" t="s">
        <v>125</v>
      </c>
      <c r="B120" s="4">
        <v>1.0</v>
      </c>
      <c r="C120" s="1" t="s">
        <v>135</v>
      </c>
      <c r="D120" s="1" t="s">
        <v>136</v>
      </c>
      <c r="E120" s="1" t="s">
        <v>120</v>
      </c>
      <c r="F120" s="6" t="s">
        <v>137</v>
      </c>
    </row>
    <row r="121" ht="15.75" customHeight="1">
      <c r="A121" s="6" t="s">
        <v>138</v>
      </c>
      <c r="B121" s="4">
        <v>1.0</v>
      </c>
      <c r="C121" s="1" t="s">
        <v>139</v>
      </c>
      <c r="D121" s="1" t="s">
        <v>140</v>
      </c>
      <c r="E121" s="1" t="s">
        <v>120</v>
      </c>
      <c r="F121" s="6" t="s">
        <v>141</v>
      </c>
    </row>
    <row r="122" ht="15.75" customHeight="1">
      <c r="A122" s="1" t="s">
        <v>142</v>
      </c>
      <c r="B122" s="4">
        <v>1.0</v>
      </c>
      <c r="C122" s="1" t="s">
        <v>143</v>
      </c>
      <c r="D122" s="1" t="s">
        <v>144</v>
      </c>
      <c r="E122" s="1" t="s">
        <v>120</v>
      </c>
      <c r="F122" s="6" t="s">
        <v>145</v>
      </c>
    </row>
    <row r="123" ht="15.75" customHeight="1">
      <c r="A123" s="1" t="s">
        <v>138</v>
      </c>
      <c r="B123" s="4">
        <v>1.0</v>
      </c>
      <c r="C123" s="1" t="s">
        <v>146</v>
      </c>
      <c r="D123" s="1" t="s">
        <v>147</v>
      </c>
      <c r="E123" s="1" t="s">
        <v>120</v>
      </c>
      <c r="F123" s="6" t="s">
        <v>148</v>
      </c>
    </row>
    <row r="124" ht="15.75" customHeight="1">
      <c r="A124" s="1" t="s">
        <v>149</v>
      </c>
      <c r="B124" s="4">
        <v>1.0</v>
      </c>
      <c r="C124" s="1" t="s">
        <v>150</v>
      </c>
      <c r="D124" s="1" t="s">
        <v>151</v>
      </c>
      <c r="E124" s="1" t="s">
        <v>152</v>
      </c>
      <c r="F124" s="6" t="s">
        <v>153</v>
      </c>
    </row>
    <row r="125" ht="15.75" customHeight="1">
      <c r="A125" s="1" t="s">
        <v>154</v>
      </c>
      <c r="B125" s="4">
        <v>1.0</v>
      </c>
      <c r="C125" s="1" t="s">
        <v>150</v>
      </c>
      <c r="D125" s="1" t="s">
        <v>151</v>
      </c>
      <c r="E125" s="1" t="s">
        <v>152</v>
      </c>
      <c r="F125" s="6" t="s">
        <v>153</v>
      </c>
    </row>
    <row r="126" ht="15.75" customHeight="1">
      <c r="A126" s="1" t="s">
        <v>155</v>
      </c>
      <c r="B126" s="4">
        <v>1.0</v>
      </c>
      <c r="C126" s="1" t="s">
        <v>156</v>
      </c>
      <c r="D126" s="1" t="s">
        <v>157</v>
      </c>
      <c r="E126" s="5"/>
      <c r="F126" s="6" t="s">
        <v>158</v>
      </c>
    </row>
    <row r="127" ht="15.75" customHeight="1">
      <c r="A127" s="1" t="s">
        <v>159</v>
      </c>
      <c r="B127" s="4">
        <v>1.0</v>
      </c>
      <c r="C127" s="1" t="s">
        <v>160</v>
      </c>
      <c r="D127" s="1" t="s">
        <v>0</v>
      </c>
      <c r="E127" s="1" t="s">
        <v>161</v>
      </c>
      <c r="F127" s="6" t="s">
        <v>162</v>
      </c>
    </row>
    <row r="128" ht="15.75" customHeight="1">
      <c r="A128" s="1" t="s">
        <v>163</v>
      </c>
      <c r="B128" s="4">
        <v>1.0</v>
      </c>
      <c r="C128" s="1" t="s">
        <v>164</v>
      </c>
      <c r="D128" s="1" t="s">
        <v>165</v>
      </c>
      <c r="E128" s="5"/>
      <c r="F128" s="6" t="s">
        <v>166</v>
      </c>
    </row>
    <row r="129" ht="15.75" customHeight="1">
      <c r="A129" s="1" t="s">
        <v>167</v>
      </c>
      <c r="B129" s="4">
        <v>1.0</v>
      </c>
      <c r="C129" s="1" t="s">
        <v>164</v>
      </c>
      <c r="D129" s="1" t="s">
        <v>165</v>
      </c>
      <c r="E129" s="7"/>
      <c r="F129" s="6" t="s">
        <v>166</v>
      </c>
    </row>
    <row r="130" ht="15.75" customHeight="1">
      <c r="A130" s="1" t="s">
        <v>168</v>
      </c>
      <c r="B130" s="4">
        <v>1.0</v>
      </c>
      <c r="C130" s="1" t="s">
        <v>169</v>
      </c>
      <c r="D130" s="1" t="s">
        <v>170</v>
      </c>
      <c r="E130" s="1" t="s">
        <v>120</v>
      </c>
      <c r="F130" s="6" t="s">
        <v>171</v>
      </c>
    </row>
    <row r="131" ht="15.75" customHeight="1">
      <c r="A131" s="1" t="s">
        <v>172</v>
      </c>
      <c r="B131" s="4">
        <v>1.0</v>
      </c>
      <c r="C131" s="1" t="s">
        <v>173</v>
      </c>
      <c r="D131" s="1" t="s">
        <v>174</v>
      </c>
      <c r="E131" s="1" t="s">
        <v>120</v>
      </c>
      <c r="F131" s="6" t="s">
        <v>175</v>
      </c>
    </row>
    <row r="132" ht="15.75" customHeight="1">
      <c r="A132" s="1" t="s">
        <v>176</v>
      </c>
      <c r="B132" s="4">
        <v>1.0</v>
      </c>
      <c r="C132" s="1" t="s">
        <v>173</v>
      </c>
      <c r="D132" s="1" t="s">
        <v>174</v>
      </c>
      <c r="E132" s="1" t="s">
        <v>120</v>
      </c>
      <c r="F132" s="6" t="s">
        <v>175</v>
      </c>
    </row>
    <row r="133" ht="15.75" customHeight="1">
      <c r="A133" s="1" t="s">
        <v>177</v>
      </c>
      <c r="B133" s="4">
        <v>1.0</v>
      </c>
      <c r="C133" s="1" t="s">
        <v>178</v>
      </c>
      <c r="D133" s="1" t="s">
        <v>179</v>
      </c>
      <c r="E133" s="7"/>
      <c r="F133" s="6" t="s">
        <v>180</v>
      </c>
    </row>
    <row r="134" ht="15.75" customHeight="1">
      <c r="A134" s="6" t="s">
        <v>163</v>
      </c>
      <c r="B134" s="4">
        <v>1.0</v>
      </c>
      <c r="C134" s="1" t="s">
        <v>181</v>
      </c>
      <c r="D134" s="1" t="s">
        <v>182</v>
      </c>
      <c r="E134" s="1" t="s">
        <v>120</v>
      </c>
      <c r="F134" s="6" t="s">
        <v>183</v>
      </c>
    </row>
    <row r="135" ht="15.75" customHeight="1">
      <c r="A135" s="6" t="s">
        <v>167</v>
      </c>
      <c r="B135" s="4">
        <v>1.0</v>
      </c>
      <c r="C135" s="1" t="s">
        <v>181</v>
      </c>
      <c r="D135" s="1" t="s">
        <v>182</v>
      </c>
      <c r="E135" s="1" t="s">
        <v>120</v>
      </c>
      <c r="F135" s="6" t="s">
        <v>183</v>
      </c>
    </row>
    <row r="136" ht="15.75" customHeight="1">
      <c r="A136" s="1" t="s">
        <v>184</v>
      </c>
      <c r="B136" s="4">
        <v>1.0</v>
      </c>
      <c r="C136" s="1" t="s">
        <v>185</v>
      </c>
      <c r="D136" s="1" t="s">
        <v>186</v>
      </c>
      <c r="E136" s="5"/>
      <c r="F136" s="6" t="s">
        <v>187</v>
      </c>
    </row>
    <row r="137" ht="15.75" customHeight="1">
      <c r="A137" s="1" t="s">
        <v>188</v>
      </c>
      <c r="B137" s="4">
        <v>1.0</v>
      </c>
      <c r="C137" s="1" t="s">
        <v>189</v>
      </c>
      <c r="D137" s="1" t="s">
        <v>190</v>
      </c>
      <c r="E137" s="7"/>
      <c r="F137" s="6" t="s">
        <v>191</v>
      </c>
    </row>
    <row r="138" ht="15.75" customHeight="1">
      <c r="A138" s="6" t="s">
        <v>192</v>
      </c>
      <c r="B138" s="4">
        <v>1.0</v>
      </c>
      <c r="C138" s="1" t="s">
        <v>193</v>
      </c>
      <c r="D138" s="1" t="s">
        <v>194</v>
      </c>
      <c r="E138" s="1" t="s">
        <v>161</v>
      </c>
      <c r="F138" s="6" t="s">
        <v>195</v>
      </c>
    </row>
    <row r="139" ht="15.75" customHeight="1">
      <c r="A139" s="6" t="s">
        <v>196</v>
      </c>
      <c r="B139" s="4">
        <v>1.0</v>
      </c>
      <c r="C139" s="1" t="s">
        <v>193</v>
      </c>
      <c r="D139" s="1" t="s">
        <v>194</v>
      </c>
      <c r="E139" s="1" t="s">
        <v>161</v>
      </c>
      <c r="F139" s="6" t="s">
        <v>195</v>
      </c>
    </row>
    <row r="140" ht="15.75" customHeight="1">
      <c r="A140" s="1" t="s">
        <v>197</v>
      </c>
      <c r="B140" s="4">
        <v>1.0</v>
      </c>
      <c r="C140" s="1" t="s">
        <v>198</v>
      </c>
      <c r="D140" s="1" t="s">
        <v>199</v>
      </c>
      <c r="E140" s="1" t="s">
        <v>161</v>
      </c>
      <c r="F140" s="6" t="s">
        <v>200</v>
      </c>
    </row>
    <row r="141" ht="15.75" customHeight="1">
      <c r="A141" s="1" t="s">
        <v>201</v>
      </c>
      <c r="B141" s="4">
        <v>1.0</v>
      </c>
      <c r="C141" s="1" t="s">
        <v>198</v>
      </c>
      <c r="D141" s="1" t="s">
        <v>199</v>
      </c>
      <c r="E141" s="1" t="s">
        <v>161</v>
      </c>
      <c r="F141" s="6" t="s">
        <v>200</v>
      </c>
    </row>
    <row r="142" ht="15.75" customHeight="1">
      <c r="A142" s="1" t="s">
        <v>202</v>
      </c>
      <c r="B142" s="4">
        <v>1.0</v>
      </c>
      <c r="C142" s="1" t="s">
        <v>203</v>
      </c>
      <c r="D142" s="1" t="s">
        <v>204</v>
      </c>
      <c r="E142" s="1" t="s">
        <v>161</v>
      </c>
      <c r="F142" s="6" t="s">
        <v>205</v>
      </c>
    </row>
    <row r="143" ht="15.75" customHeight="1">
      <c r="A143" s="1" t="s">
        <v>206</v>
      </c>
      <c r="B143" s="4">
        <v>1.0</v>
      </c>
      <c r="C143" s="1" t="s">
        <v>203</v>
      </c>
      <c r="D143" s="1" t="s">
        <v>204</v>
      </c>
      <c r="E143" s="1" t="s">
        <v>161</v>
      </c>
      <c r="F143" s="1" t="s">
        <v>205</v>
      </c>
    </row>
    <row r="144" ht="15.75" customHeight="1">
      <c r="A144" s="1" t="s">
        <v>207</v>
      </c>
      <c r="B144" s="4">
        <v>1.0</v>
      </c>
      <c r="C144" s="1" t="s">
        <v>208</v>
      </c>
      <c r="D144" s="1" t="s">
        <v>209</v>
      </c>
      <c r="E144" s="7"/>
      <c r="F144" s="6" t="s">
        <v>210</v>
      </c>
    </row>
    <row r="145" ht="15.75" customHeight="1">
      <c r="A145" s="1" t="s">
        <v>211</v>
      </c>
      <c r="B145" s="4">
        <v>1.0</v>
      </c>
      <c r="C145" s="1" t="s">
        <v>208</v>
      </c>
      <c r="D145" s="1" t="s">
        <v>209</v>
      </c>
      <c r="E145" s="7"/>
      <c r="F145" s="6" t="s">
        <v>210</v>
      </c>
    </row>
    <row r="146" ht="15.75" customHeight="1">
      <c r="A146" s="1" t="s">
        <v>212</v>
      </c>
      <c r="B146" s="4">
        <v>1.0</v>
      </c>
      <c r="C146" s="1" t="s">
        <v>213</v>
      </c>
      <c r="D146" s="1" t="s">
        <v>214</v>
      </c>
      <c r="E146" s="1" t="s">
        <v>215</v>
      </c>
      <c r="F146" s="6" t="s">
        <v>216</v>
      </c>
    </row>
    <row r="147" ht="15.75" customHeight="1">
      <c r="A147" s="1" t="s">
        <v>217</v>
      </c>
      <c r="B147" s="4">
        <v>1.0</v>
      </c>
      <c r="C147" s="1" t="s">
        <v>218</v>
      </c>
      <c r="D147" s="1" t="s">
        <v>219</v>
      </c>
      <c r="E147" s="7"/>
      <c r="F147" s="6" t="s">
        <v>220</v>
      </c>
    </row>
    <row r="148" ht="15.75" customHeight="1">
      <c r="A148" s="1" t="s">
        <v>221</v>
      </c>
      <c r="B148" s="4">
        <v>1.0</v>
      </c>
      <c r="C148" s="1" t="s">
        <v>218</v>
      </c>
      <c r="D148" s="1" t="s">
        <v>219</v>
      </c>
      <c r="E148" s="7"/>
      <c r="F148" s="6" t="s">
        <v>220</v>
      </c>
    </row>
    <row r="149" ht="15.75" customHeight="1">
      <c r="A149" s="1" t="s">
        <v>222</v>
      </c>
      <c r="B149" s="4">
        <v>1.0</v>
      </c>
      <c r="C149" s="1" t="s">
        <v>218</v>
      </c>
      <c r="D149" s="1" t="s">
        <v>219</v>
      </c>
      <c r="E149" s="7"/>
      <c r="F149" s="6" t="s">
        <v>220</v>
      </c>
    </row>
    <row r="150" ht="15.75" customHeight="1">
      <c r="A150" s="1" t="s">
        <v>223</v>
      </c>
      <c r="B150" s="4">
        <v>1.0</v>
      </c>
      <c r="C150" s="1" t="s">
        <v>218</v>
      </c>
      <c r="D150" s="1" t="s">
        <v>219</v>
      </c>
      <c r="E150" s="7"/>
      <c r="F150" s="6" t="s">
        <v>220</v>
      </c>
    </row>
    <row r="151" ht="15.75" customHeight="1">
      <c r="A151" s="1" t="s">
        <v>224</v>
      </c>
      <c r="B151" s="4">
        <v>1.0</v>
      </c>
      <c r="C151" s="1" t="s">
        <v>225</v>
      </c>
      <c r="D151" s="1" t="s">
        <v>226</v>
      </c>
      <c r="E151" s="7"/>
      <c r="F151" s="1" t="s">
        <v>227</v>
      </c>
    </row>
    <row r="152" ht="15.75" customHeight="1">
      <c r="A152" s="1" t="s">
        <v>224</v>
      </c>
      <c r="B152" s="4">
        <v>1.0</v>
      </c>
      <c r="C152" s="1" t="s">
        <v>228</v>
      </c>
      <c r="D152" s="1" t="s">
        <v>229</v>
      </c>
      <c r="E152" s="5"/>
      <c r="F152" s="1" t="s">
        <v>230</v>
      </c>
    </row>
    <row r="153" ht="15.75" customHeight="1">
      <c r="A153" s="6" t="s">
        <v>231</v>
      </c>
      <c r="B153" s="4">
        <v>1.0</v>
      </c>
      <c r="C153" s="1" t="s">
        <v>232</v>
      </c>
      <c r="D153" s="1" t="s">
        <v>233</v>
      </c>
      <c r="E153" s="7"/>
      <c r="F153" s="6" t="s">
        <v>234</v>
      </c>
    </row>
    <row r="154" ht="15.75" customHeight="1">
      <c r="A154" s="6" t="s">
        <v>235</v>
      </c>
      <c r="B154" s="4">
        <v>1.0</v>
      </c>
      <c r="C154" s="1" t="s">
        <v>236</v>
      </c>
      <c r="D154" s="1" t="s">
        <v>237</v>
      </c>
      <c r="E154" s="1" t="s">
        <v>238</v>
      </c>
      <c r="F154" s="6" t="s">
        <v>239</v>
      </c>
    </row>
    <row r="155" ht="15.75" customHeight="1">
      <c r="A155" s="6" t="s">
        <v>231</v>
      </c>
      <c r="B155" s="4">
        <v>1.0</v>
      </c>
      <c r="C155" s="1" t="s">
        <v>240</v>
      </c>
      <c r="D155" s="1" t="s">
        <v>241</v>
      </c>
      <c r="E155" s="1" t="s">
        <v>238</v>
      </c>
      <c r="F155" s="6" t="s">
        <v>242</v>
      </c>
    </row>
    <row r="156" ht="15.75" customHeight="1">
      <c r="A156" s="6" t="s">
        <v>235</v>
      </c>
      <c r="B156" s="4">
        <v>1.0</v>
      </c>
      <c r="C156" s="1" t="s">
        <v>243</v>
      </c>
      <c r="D156" s="1" t="s">
        <v>244</v>
      </c>
      <c r="E156" s="1" t="s">
        <v>238</v>
      </c>
      <c r="F156" s="6" t="s">
        <v>245</v>
      </c>
    </row>
    <row r="157" ht="15.75" customHeight="1">
      <c r="A157" s="6" t="s">
        <v>246</v>
      </c>
      <c r="B157" s="4">
        <v>1.0</v>
      </c>
      <c r="C157" s="1" t="s">
        <v>247</v>
      </c>
      <c r="D157" s="1" t="s">
        <v>248</v>
      </c>
      <c r="E157" s="1" t="s">
        <v>238</v>
      </c>
      <c r="F157" s="6" t="s">
        <v>249</v>
      </c>
    </row>
    <row r="158" ht="15.75" customHeight="1">
      <c r="A158" s="6" t="s">
        <v>250</v>
      </c>
      <c r="B158" s="4">
        <v>1.0</v>
      </c>
      <c r="C158" s="1" t="s">
        <v>247</v>
      </c>
      <c r="D158" s="1" t="s">
        <v>248</v>
      </c>
      <c r="E158" s="1" t="s">
        <v>238</v>
      </c>
      <c r="F158" s="6" t="s">
        <v>249</v>
      </c>
    </row>
    <row r="159" ht="15.75" customHeight="1">
      <c r="A159" s="6" t="s">
        <v>231</v>
      </c>
      <c r="B159" s="4">
        <v>1.0</v>
      </c>
      <c r="C159" s="1" t="s">
        <v>251</v>
      </c>
      <c r="D159" s="1" t="s">
        <v>252</v>
      </c>
      <c r="E159" s="1" t="s">
        <v>238</v>
      </c>
      <c r="F159" s="6" t="s">
        <v>253</v>
      </c>
    </row>
    <row r="160" ht="15.75" customHeight="1">
      <c r="A160" s="1" t="s">
        <v>235</v>
      </c>
      <c r="B160" s="4">
        <v>1.0</v>
      </c>
      <c r="C160" s="1" t="s">
        <v>254</v>
      </c>
      <c r="D160" s="1" t="s">
        <v>255</v>
      </c>
      <c r="E160" s="5"/>
      <c r="F160" s="6" t="s">
        <v>256</v>
      </c>
    </row>
    <row r="161" ht="15.75" customHeight="1">
      <c r="A161" s="1" t="s">
        <v>231</v>
      </c>
      <c r="B161" s="4">
        <v>1.0</v>
      </c>
      <c r="C161" s="1" t="s">
        <v>257</v>
      </c>
      <c r="D161" s="1" t="s">
        <v>258</v>
      </c>
      <c r="E161" s="1" t="s">
        <v>238</v>
      </c>
      <c r="F161" s="6" t="s">
        <v>259</v>
      </c>
    </row>
    <row r="162" ht="15.75" customHeight="1">
      <c r="A162" s="1" t="s">
        <v>260</v>
      </c>
      <c r="B162" s="4">
        <v>1.0</v>
      </c>
      <c r="C162" s="1" t="s">
        <v>261</v>
      </c>
      <c r="D162" s="1" t="s">
        <v>262</v>
      </c>
      <c r="E162" s="1" t="s">
        <v>238</v>
      </c>
      <c r="F162" s="6" t="s">
        <v>263</v>
      </c>
    </row>
    <row r="163" ht="15.75" customHeight="1">
      <c r="A163" s="1" t="s">
        <v>264</v>
      </c>
      <c r="B163" s="4">
        <v>1.0</v>
      </c>
      <c r="C163" s="1" t="s">
        <v>265</v>
      </c>
      <c r="D163" s="1" t="s">
        <v>266</v>
      </c>
      <c r="E163" s="1" t="s">
        <v>267</v>
      </c>
      <c r="F163" s="6" t="s">
        <v>268</v>
      </c>
    </row>
    <row r="164" ht="15.75" customHeight="1">
      <c r="A164" s="1" t="s">
        <v>269</v>
      </c>
      <c r="B164" s="4">
        <v>1.0</v>
      </c>
      <c r="C164" s="1" t="s">
        <v>265</v>
      </c>
      <c r="D164" s="1" t="s">
        <v>270</v>
      </c>
      <c r="E164" s="1" t="s">
        <v>267</v>
      </c>
      <c r="F164" s="6" t="s">
        <v>271</v>
      </c>
    </row>
    <row r="165" ht="15.75" customHeight="1">
      <c r="A165" s="1" t="s">
        <v>272</v>
      </c>
      <c r="B165" s="4">
        <v>1.0</v>
      </c>
      <c r="C165" s="1" t="s">
        <v>273</v>
      </c>
      <c r="D165" s="1" t="s">
        <v>274</v>
      </c>
      <c r="E165" s="5"/>
      <c r="F165" s="6" t="s">
        <v>275</v>
      </c>
    </row>
    <row r="166" ht="15.75" customHeight="1">
      <c r="A166" s="1" t="s">
        <v>276</v>
      </c>
      <c r="B166" s="4">
        <v>1.0</v>
      </c>
      <c r="C166" s="1" t="s">
        <v>277</v>
      </c>
      <c r="D166" s="1" t="s">
        <v>278</v>
      </c>
      <c r="E166" s="7"/>
      <c r="F166" s="6" t="s">
        <v>279</v>
      </c>
    </row>
    <row r="167" ht="15.75" customHeight="1">
      <c r="A167" s="1" t="s">
        <v>280</v>
      </c>
      <c r="B167" s="4">
        <v>1.0</v>
      </c>
      <c r="C167" s="1" t="s">
        <v>281</v>
      </c>
      <c r="D167" s="1" t="s">
        <v>282</v>
      </c>
      <c r="E167" s="1" t="s">
        <v>215</v>
      </c>
      <c r="F167" s="6" t="s">
        <v>283</v>
      </c>
    </row>
    <row r="168" ht="15.75" customHeight="1">
      <c r="A168" s="1" t="s">
        <v>224</v>
      </c>
      <c r="B168" s="4">
        <v>17.0</v>
      </c>
      <c r="C168" s="1" t="s">
        <v>284</v>
      </c>
      <c r="D168" s="1" t="s">
        <v>285</v>
      </c>
      <c r="E168" s="7"/>
      <c r="F168" s="1" t="s">
        <v>286</v>
      </c>
    </row>
    <row r="169" ht="15.75" customHeight="1">
      <c r="A169" s="1" t="s">
        <v>224</v>
      </c>
      <c r="B169" s="4">
        <v>3.0</v>
      </c>
      <c r="C169" s="1" t="s">
        <v>287</v>
      </c>
      <c r="D169" s="1" t="s">
        <v>288</v>
      </c>
      <c r="E169" s="5"/>
      <c r="F169" s="1" t="s">
        <v>289</v>
      </c>
    </row>
    <row r="170" ht="15.75" customHeight="1">
      <c r="A170" s="1" t="s">
        <v>224</v>
      </c>
      <c r="B170" s="4">
        <v>17.0</v>
      </c>
      <c r="C170" s="1" t="s">
        <v>290</v>
      </c>
      <c r="D170" s="1" t="s">
        <v>288</v>
      </c>
      <c r="E170" s="5"/>
      <c r="F170" s="1" t="s">
        <v>291</v>
      </c>
    </row>
    <row r="171" ht="15.75" customHeight="1">
      <c r="A171" s="1" t="s">
        <v>224</v>
      </c>
      <c r="B171" s="4">
        <v>3.0</v>
      </c>
      <c r="C171" s="1" t="s">
        <v>292</v>
      </c>
      <c r="D171" s="1" t="s">
        <v>293</v>
      </c>
      <c r="E171" s="5"/>
      <c r="F171" s="1" t="s">
        <v>294</v>
      </c>
    </row>
    <row r="172" ht="15.75" customHeight="1">
      <c r="A172" s="1" t="s">
        <v>224</v>
      </c>
      <c r="B172" s="4">
        <v>17.0</v>
      </c>
      <c r="C172" s="1" t="s">
        <v>295</v>
      </c>
      <c r="D172" s="1" t="s">
        <v>293</v>
      </c>
      <c r="E172" s="5"/>
      <c r="F172" s="1" t="s">
        <v>296</v>
      </c>
    </row>
    <row r="173" ht="15.75" customHeight="1">
      <c r="A173" s="6" t="s">
        <v>297</v>
      </c>
      <c r="B173" s="4">
        <v>1.0</v>
      </c>
      <c r="C173" s="1" t="s">
        <v>298</v>
      </c>
      <c r="D173" s="1" t="s">
        <v>299</v>
      </c>
      <c r="E173" s="1" t="s">
        <v>161</v>
      </c>
      <c r="F173" s="6" t="s">
        <v>300</v>
      </c>
    </row>
    <row r="174" ht="15.75" customHeight="1">
      <c r="A174" s="6" t="s">
        <v>301</v>
      </c>
      <c r="B174" s="4">
        <v>1.0</v>
      </c>
      <c r="C174" s="1" t="s">
        <v>302</v>
      </c>
      <c r="D174" s="1" t="s">
        <v>303</v>
      </c>
      <c r="E174" s="1" t="s">
        <v>161</v>
      </c>
      <c r="F174" s="6" t="s">
        <v>304</v>
      </c>
    </row>
    <row r="175" ht="15.75" customHeight="1">
      <c r="A175" s="6" t="s">
        <v>305</v>
      </c>
      <c r="B175" s="4">
        <v>1.0</v>
      </c>
      <c r="C175" s="1" t="s">
        <v>302</v>
      </c>
      <c r="D175" s="1" t="s">
        <v>303</v>
      </c>
      <c r="E175" s="1" t="s">
        <v>161</v>
      </c>
      <c r="F175" s="6" t="s">
        <v>304</v>
      </c>
    </row>
    <row r="176" ht="15.75" customHeight="1">
      <c r="A176" s="1" t="s">
        <v>306</v>
      </c>
      <c r="B176" s="4">
        <v>1.0</v>
      </c>
      <c r="C176" s="1" t="s">
        <v>302</v>
      </c>
      <c r="D176" s="1" t="s">
        <v>303</v>
      </c>
      <c r="E176" s="1" t="s">
        <v>161</v>
      </c>
      <c r="F176" s="6" t="s">
        <v>304</v>
      </c>
    </row>
    <row r="177" ht="15.75" customHeight="1">
      <c r="A177" s="6" t="s">
        <v>307</v>
      </c>
      <c r="B177" s="4">
        <v>1.0</v>
      </c>
      <c r="C177" s="1" t="s">
        <v>308</v>
      </c>
      <c r="D177" s="1" t="s">
        <v>309</v>
      </c>
      <c r="E177" s="1" t="s">
        <v>161</v>
      </c>
      <c r="F177" s="6" t="s">
        <v>310</v>
      </c>
    </row>
    <row r="178" ht="15.75" customHeight="1">
      <c r="A178" s="1" t="s">
        <v>311</v>
      </c>
      <c r="B178" s="4">
        <v>1.0</v>
      </c>
      <c r="C178" s="1" t="s">
        <v>312</v>
      </c>
      <c r="D178" s="1" t="s">
        <v>313</v>
      </c>
      <c r="E178" s="1" t="s">
        <v>161</v>
      </c>
      <c r="F178" s="6" t="s">
        <v>314</v>
      </c>
    </row>
    <row r="179" ht="15.75" customHeight="1">
      <c r="A179" s="6" t="s">
        <v>311</v>
      </c>
      <c r="B179" s="4">
        <v>1.0</v>
      </c>
      <c r="C179" s="1" t="s">
        <v>315</v>
      </c>
      <c r="D179" s="1" t="s">
        <v>316</v>
      </c>
      <c r="E179" s="1" t="s">
        <v>161</v>
      </c>
      <c r="F179" s="6" t="s">
        <v>317</v>
      </c>
    </row>
    <row r="180" ht="15.75" customHeight="1">
      <c r="A180" s="6" t="s">
        <v>318</v>
      </c>
      <c r="B180" s="4">
        <v>1.0</v>
      </c>
      <c r="C180" s="1" t="s">
        <v>319</v>
      </c>
      <c r="D180" s="1" t="s">
        <v>320</v>
      </c>
      <c r="E180" s="1" t="s">
        <v>161</v>
      </c>
      <c r="F180" s="6" t="s">
        <v>321</v>
      </c>
    </row>
    <row r="181" ht="15.75" customHeight="1">
      <c r="A181" s="6" t="s">
        <v>307</v>
      </c>
      <c r="B181" s="4">
        <v>1.0</v>
      </c>
      <c r="C181" s="1" t="s">
        <v>319</v>
      </c>
      <c r="D181" s="1" t="s">
        <v>320</v>
      </c>
      <c r="E181" s="1" t="s">
        <v>161</v>
      </c>
      <c r="F181" s="6" t="s">
        <v>321</v>
      </c>
    </row>
    <row r="182" ht="15.75" customHeight="1">
      <c r="A182" s="6" t="s">
        <v>301</v>
      </c>
      <c r="B182" s="4">
        <v>1.0</v>
      </c>
      <c r="C182" s="1" t="s">
        <v>319</v>
      </c>
      <c r="D182" s="1" t="s">
        <v>320</v>
      </c>
      <c r="E182" s="1" t="s">
        <v>161</v>
      </c>
      <c r="F182" s="6" t="s">
        <v>321</v>
      </c>
    </row>
    <row r="183" ht="15.75" customHeight="1">
      <c r="A183" s="6" t="s">
        <v>305</v>
      </c>
      <c r="B183" s="4">
        <v>1.0</v>
      </c>
      <c r="C183" s="1" t="s">
        <v>319</v>
      </c>
      <c r="D183" s="1" t="s">
        <v>320</v>
      </c>
      <c r="E183" s="1" t="s">
        <v>161</v>
      </c>
      <c r="F183" s="6" t="s">
        <v>321</v>
      </c>
    </row>
    <row r="184" ht="15.75" customHeight="1">
      <c r="A184" s="6" t="s">
        <v>297</v>
      </c>
      <c r="B184" s="4">
        <v>1.0</v>
      </c>
      <c r="C184" s="1" t="s">
        <v>319</v>
      </c>
      <c r="D184" s="1" t="s">
        <v>320</v>
      </c>
      <c r="E184" s="1" t="s">
        <v>161</v>
      </c>
      <c r="F184" s="6" t="s">
        <v>321</v>
      </c>
    </row>
    <row r="185" ht="15.75" customHeight="1">
      <c r="A185" s="6" t="s">
        <v>306</v>
      </c>
      <c r="B185" s="4">
        <v>1.0</v>
      </c>
      <c r="C185" s="1" t="s">
        <v>319</v>
      </c>
      <c r="D185" s="1" t="s">
        <v>320</v>
      </c>
      <c r="E185" s="1" t="s">
        <v>161</v>
      </c>
      <c r="F185" s="6" t="s">
        <v>321</v>
      </c>
    </row>
    <row r="186" ht="15.75" customHeight="1">
      <c r="A186" s="6" t="s">
        <v>322</v>
      </c>
      <c r="B186" s="4">
        <v>1.0</v>
      </c>
      <c r="C186" s="1" t="s">
        <v>319</v>
      </c>
      <c r="D186" s="1" t="s">
        <v>320</v>
      </c>
      <c r="E186" s="1" t="s">
        <v>161</v>
      </c>
      <c r="F186" s="6" t="s">
        <v>321</v>
      </c>
    </row>
    <row r="187" ht="15.75" customHeight="1">
      <c r="A187" s="6" t="s">
        <v>323</v>
      </c>
      <c r="B187" s="4">
        <v>1.0</v>
      </c>
      <c r="C187" s="1" t="s">
        <v>319</v>
      </c>
      <c r="D187" s="1" t="s">
        <v>320</v>
      </c>
      <c r="E187" s="1" t="s">
        <v>161</v>
      </c>
      <c r="F187" s="6" t="s">
        <v>321</v>
      </c>
    </row>
    <row r="188" ht="15.75" customHeight="1">
      <c r="A188" s="6" t="s">
        <v>324</v>
      </c>
      <c r="B188" s="4">
        <v>1.0</v>
      </c>
      <c r="C188" s="1" t="s">
        <v>319</v>
      </c>
      <c r="D188" s="1" t="s">
        <v>320</v>
      </c>
      <c r="E188" s="1" t="s">
        <v>161</v>
      </c>
      <c r="F188" s="6" t="s">
        <v>321</v>
      </c>
    </row>
    <row r="189" ht="15.75" customHeight="1">
      <c r="A189" s="6" t="s">
        <v>325</v>
      </c>
      <c r="B189" s="4">
        <v>1.0</v>
      </c>
      <c r="C189" s="1" t="s">
        <v>319</v>
      </c>
      <c r="D189" s="1" t="s">
        <v>320</v>
      </c>
      <c r="E189" s="1" t="s">
        <v>161</v>
      </c>
      <c r="F189" s="6" t="s">
        <v>321</v>
      </c>
    </row>
    <row r="190" ht="15.75" customHeight="1">
      <c r="A190" s="6" t="s">
        <v>326</v>
      </c>
      <c r="B190" s="4">
        <v>1.0</v>
      </c>
      <c r="C190" s="1" t="s">
        <v>319</v>
      </c>
      <c r="D190" s="1" t="s">
        <v>320</v>
      </c>
      <c r="E190" s="1" t="s">
        <v>161</v>
      </c>
      <c r="F190" s="6" t="s">
        <v>321</v>
      </c>
    </row>
    <row r="191" ht="15.75" customHeight="1">
      <c r="A191" s="6" t="s">
        <v>327</v>
      </c>
      <c r="B191" s="4">
        <v>1.0</v>
      </c>
      <c r="C191" s="1" t="s">
        <v>319</v>
      </c>
      <c r="D191" s="1" t="s">
        <v>320</v>
      </c>
      <c r="E191" s="1" t="s">
        <v>161</v>
      </c>
      <c r="F191" s="6" t="s">
        <v>321</v>
      </c>
    </row>
    <row r="192" ht="15.75" customHeight="1">
      <c r="A192" s="6" t="s">
        <v>328</v>
      </c>
      <c r="B192" s="4">
        <v>1.0</v>
      </c>
      <c r="C192" s="1" t="s">
        <v>319</v>
      </c>
      <c r="D192" s="1" t="s">
        <v>320</v>
      </c>
      <c r="E192" s="1" t="s">
        <v>161</v>
      </c>
      <c r="F192" s="6" t="s">
        <v>321</v>
      </c>
    </row>
    <row r="193" ht="15.75" customHeight="1">
      <c r="A193" s="6" t="s">
        <v>329</v>
      </c>
      <c r="B193" s="4">
        <v>1.0</v>
      </c>
      <c r="C193" s="1" t="s">
        <v>319</v>
      </c>
      <c r="D193" s="1" t="s">
        <v>320</v>
      </c>
      <c r="E193" s="1" t="s">
        <v>161</v>
      </c>
      <c r="F193" s="6" t="s">
        <v>321</v>
      </c>
    </row>
    <row r="194" ht="15.75" customHeight="1">
      <c r="A194" s="6" t="s">
        <v>330</v>
      </c>
      <c r="B194" s="4">
        <v>1.0</v>
      </c>
      <c r="C194" s="1" t="s">
        <v>319</v>
      </c>
      <c r="D194" s="1" t="s">
        <v>320</v>
      </c>
      <c r="E194" s="1" t="s">
        <v>161</v>
      </c>
      <c r="F194" s="6" t="s">
        <v>321</v>
      </c>
    </row>
    <row r="195" ht="15.75" customHeight="1">
      <c r="A195" s="6" t="s">
        <v>331</v>
      </c>
      <c r="B195" s="4">
        <v>1.0</v>
      </c>
      <c r="C195" s="1" t="s">
        <v>319</v>
      </c>
      <c r="D195" s="1" t="s">
        <v>320</v>
      </c>
      <c r="E195" s="1" t="s">
        <v>161</v>
      </c>
      <c r="F195" s="6" t="s">
        <v>321</v>
      </c>
    </row>
    <row r="196" ht="15.75" customHeight="1">
      <c r="A196" s="6" t="s">
        <v>332</v>
      </c>
      <c r="B196" s="4">
        <v>1.0</v>
      </c>
      <c r="C196" s="1" t="s">
        <v>319</v>
      </c>
      <c r="D196" s="1" t="s">
        <v>320</v>
      </c>
      <c r="E196" s="1" t="s">
        <v>161</v>
      </c>
      <c r="F196" s="6" t="s">
        <v>321</v>
      </c>
    </row>
    <row r="197" ht="15.75" customHeight="1">
      <c r="A197" s="6" t="s">
        <v>333</v>
      </c>
      <c r="B197" s="4">
        <v>1.0</v>
      </c>
      <c r="C197" s="1" t="s">
        <v>319</v>
      </c>
      <c r="D197" s="1" t="s">
        <v>320</v>
      </c>
      <c r="E197" s="1" t="s">
        <v>161</v>
      </c>
      <c r="F197" s="6" t="s">
        <v>321</v>
      </c>
    </row>
    <row r="198" ht="15.75" customHeight="1">
      <c r="A198" s="6" t="s">
        <v>334</v>
      </c>
      <c r="B198" s="4">
        <v>1.0</v>
      </c>
      <c r="C198" s="1" t="s">
        <v>319</v>
      </c>
      <c r="D198" s="1" t="s">
        <v>320</v>
      </c>
      <c r="E198" s="1" t="s">
        <v>161</v>
      </c>
      <c r="F198" s="6" t="s">
        <v>321</v>
      </c>
    </row>
    <row r="199" ht="15.75" customHeight="1">
      <c r="A199" s="6" t="s">
        <v>335</v>
      </c>
      <c r="B199" s="4">
        <v>1.0</v>
      </c>
      <c r="C199" s="1" t="s">
        <v>319</v>
      </c>
      <c r="D199" s="1" t="s">
        <v>320</v>
      </c>
      <c r="E199" s="1" t="s">
        <v>161</v>
      </c>
      <c r="F199" s="6" t="s">
        <v>321</v>
      </c>
    </row>
    <row r="200" ht="15.75" customHeight="1">
      <c r="A200" s="6" t="s">
        <v>336</v>
      </c>
      <c r="B200" s="4">
        <v>1.0</v>
      </c>
      <c r="C200" s="1" t="s">
        <v>319</v>
      </c>
      <c r="D200" s="1" t="s">
        <v>320</v>
      </c>
      <c r="E200" s="1" t="s">
        <v>161</v>
      </c>
      <c r="F200" s="6" t="s">
        <v>321</v>
      </c>
    </row>
    <row r="201" ht="15.75" customHeight="1">
      <c r="A201" s="6" t="s">
        <v>337</v>
      </c>
      <c r="B201" s="4">
        <v>1.0</v>
      </c>
      <c r="C201" s="1" t="s">
        <v>319</v>
      </c>
      <c r="D201" s="1" t="s">
        <v>320</v>
      </c>
      <c r="E201" s="1" t="s">
        <v>161</v>
      </c>
      <c r="F201" s="6" t="s">
        <v>321</v>
      </c>
    </row>
    <row r="202" ht="15.75" customHeight="1">
      <c r="A202" s="6" t="s">
        <v>338</v>
      </c>
      <c r="B202" s="4">
        <v>1.0</v>
      </c>
      <c r="C202" s="1" t="s">
        <v>319</v>
      </c>
      <c r="D202" s="1" t="s">
        <v>320</v>
      </c>
      <c r="E202" s="1" t="s">
        <v>161</v>
      </c>
      <c r="F202" s="6" t="s">
        <v>321</v>
      </c>
    </row>
    <row r="203" ht="15.75" customHeight="1">
      <c r="A203" s="6" t="s">
        <v>339</v>
      </c>
      <c r="B203" s="4">
        <v>1.0</v>
      </c>
      <c r="C203" s="1" t="s">
        <v>340</v>
      </c>
      <c r="D203" s="1" t="s">
        <v>341</v>
      </c>
      <c r="E203" s="1" t="s">
        <v>161</v>
      </c>
      <c r="F203" s="6" t="s">
        <v>342</v>
      </c>
    </row>
    <row r="204" ht="15.75" customHeight="1">
      <c r="A204" s="6" t="s">
        <v>343</v>
      </c>
      <c r="B204" s="4">
        <v>1.0</v>
      </c>
      <c r="C204" s="1" t="s">
        <v>344</v>
      </c>
      <c r="D204" s="1" t="s">
        <v>345</v>
      </c>
      <c r="E204" s="1" t="s">
        <v>161</v>
      </c>
      <c r="F204" s="6" t="s">
        <v>346</v>
      </c>
    </row>
    <row r="205" ht="15.75" customHeight="1">
      <c r="A205" s="6" t="s">
        <v>347</v>
      </c>
      <c r="B205" s="4">
        <v>1.0</v>
      </c>
      <c r="C205" s="1" t="s">
        <v>344</v>
      </c>
      <c r="D205" s="1" t="s">
        <v>345</v>
      </c>
      <c r="E205" s="1" t="s">
        <v>161</v>
      </c>
      <c r="F205" s="6" t="s">
        <v>346</v>
      </c>
    </row>
    <row r="206" ht="15.75" customHeight="1">
      <c r="A206" s="6" t="s">
        <v>348</v>
      </c>
      <c r="B206" s="4">
        <v>0.0</v>
      </c>
      <c r="C206" s="1" t="s">
        <v>344</v>
      </c>
      <c r="D206" s="1" t="s">
        <v>345</v>
      </c>
      <c r="E206" s="1" t="s">
        <v>161</v>
      </c>
      <c r="F206" s="6" t="s">
        <v>346</v>
      </c>
    </row>
    <row r="207" ht="15.75" customHeight="1">
      <c r="A207" s="6" t="s">
        <v>318</v>
      </c>
      <c r="B207" s="4">
        <v>1.0</v>
      </c>
      <c r="C207" s="1" t="s">
        <v>349</v>
      </c>
      <c r="D207" s="1" t="s">
        <v>350</v>
      </c>
      <c r="E207" s="1" t="s">
        <v>161</v>
      </c>
      <c r="F207" s="6" t="s">
        <v>351</v>
      </c>
    </row>
    <row r="208" ht="15.75" customHeight="1">
      <c r="A208" s="6" t="s">
        <v>338</v>
      </c>
      <c r="B208" s="4">
        <v>1.0</v>
      </c>
      <c r="C208" s="1" t="s">
        <v>352</v>
      </c>
      <c r="D208" s="1" t="s">
        <v>353</v>
      </c>
      <c r="E208" s="1" t="s">
        <v>161</v>
      </c>
      <c r="F208" s="6" t="s">
        <v>354</v>
      </c>
    </row>
    <row r="209" ht="15.75" customHeight="1">
      <c r="A209" s="6" t="s">
        <v>322</v>
      </c>
      <c r="B209" s="4">
        <v>1.0</v>
      </c>
      <c r="C209" s="1" t="s">
        <v>355</v>
      </c>
      <c r="D209" s="1" t="s">
        <v>356</v>
      </c>
      <c r="E209" s="1" t="s">
        <v>161</v>
      </c>
      <c r="F209" s="6" t="s">
        <v>357</v>
      </c>
    </row>
    <row r="210" ht="15.75" customHeight="1">
      <c r="A210" s="6" t="s">
        <v>323</v>
      </c>
      <c r="B210" s="4">
        <v>1.0</v>
      </c>
      <c r="C210" s="1" t="s">
        <v>355</v>
      </c>
      <c r="D210" s="1" t="s">
        <v>356</v>
      </c>
      <c r="E210" s="1" t="s">
        <v>161</v>
      </c>
      <c r="F210" s="6" t="s">
        <v>357</v>
      </c>
    </row>
    <row r="211" ht="15.75" customHeight="1">
      <c r="A211" s="6" t="s">
        <v>324</v>
      </c>
      <c r="B211" s="4">
        <v>1.0</v>
      </c>
      <c r="C211" s="1" t="s">
        <v>355</v>
      </c>
      <c r="D211" s="1" t="s">
        <v>356</v>
      </c>
      <c r="E211" s="1" t="s">
        <v>161</v>
      </c>
      <c r="F211" s="6" t="s">
        <v>357</v>
      </c>
    </row>
    <row r="212" ht="15.75" customHeight="1">
      <c r="A212" s="6" t="s">
        <v>325</v>
      </c>
      <c r="B212" s="4">
        <v>1.0</v>
      </c>
      <c r="C212" s="1" t="s">
        <v>355</v>
      </c>
      <c r="D212" s="1" t="s">
        <v>356</v>
      </c>
      <c r="E212" s="1" t="s">
        <v>161</v>
      </c>
      <c r="F212" s="6" t="s">
        <v>357</v>
      </c>
    </row>
    <row r="213" ht="15.75" customHeight="1">
      <c r="A213" s="6" t="s">
        <v>326</v>
      </c>
      <c r="B213" s="4">
        <v>1.0</v>
      </c>
      <c r="C213" s="1" t="s">
        <v>355</v>
      </c>
      <c r="D213" s="1" t="s">
        <v>356</v>
      </c>
      <c r="E213" s="1" t="s">
        <v>161</v>
      </c>
      <c r="F213" s="6" t="s">
        <v>357</v>
      </c>
    </row>
    <row r="214" ht="15.75" customHeight="1">
      <c r="A214" s="6" t="s">
        <v>327</v>
      </c>
      <c r="B214" s="4">
        <v>1.0</v>
      </c>
      <c r="C214" s="1" t="s">
        <v>355</v>
      </c>
      <c r="D214" s="1" t="s">
        <v>356</v>
      </c>
      <c r="E214" s="1" t="s">
        <v>161</v>
      </c>
      <c r="F214" s="6" t="s">
        <v>357</v>
      </c>
    </row>
    <row r="215" ht="15.75" customHeight="1">
      <c r="A215" s="6" t="s">
        <v>328</v>
      </c>
      <c r="B215" s="4">
        <v>1.0</v>
      </c>
      <c r="C215" s="1" t="s">
        <v>355</v>
      </c>
      <c r="D215" s="1" t="s">
        <v>356</v>
      </c>
      <c r="E215" s="1" t="s">
        <v>161</v>
      </c>
      <c r="F215" s="6" t="s">
        <v>357</v>
      </c>
    </row>
    <row r="216" ht="15.75" customHeight="1">
      <c r="A216" s="6" t="s">
        <v>329</v>
      </c>
      <c r="B216" s="4">
        <v>1.0</v>
      </c>
      <c r="C216" s="1" t="s">
        <v>355</v>
      </c>
      <c r="D216" s="1" t="s">
        <v>356</v>
      </c>
      <c r="E216" s="1" t="s">
        <v>161</v>
      </c>
      <c r="F216" s="6" t="s">
        <v>357</v>
      </c>
    </row>
    <row r="217" ht="15.75" customHeight="1">
      <c r="A217" s="6" t="s">
        <v>330</v>
      </c>
      <c r="B217" s="4">
        <v>1.0</v>
      </c>
      <c r="C217" s="1" t="s">
        <v>358</v>
      </c>
      <c r="D217" s="1" t="s">
        <v>359</v>
      </c>
      <c r="E217" s="1" t="s">
        <v>161</v>
      </c>
      <c r="F217" s="6" t="s">
        <v>360</v>
      </c>
    </row>
    <row r="218" ht="15.75" customHeight="1">
      <c r="A218" s="6" t="s">
        <v>331</v>
      </c>
      <c r="B218" s="4">
        <v>1.0</v>
      </c>
      <c r="C218" s="1" t="s">
        <v>358</v>
      </c>
      <c r="D218" s="1" t="s">
        <v>359</v>
      </c>
      <c r="E218" s="1" t="s">
        <v>161</v>
      </c>
      <c r="F218" s="6" t="s">
        <v>360</v>
      </c>
    </row>
    <row r="219" ht="15.75" customHeight="1">
      <c r="A219" s="6" t="s">
        <v>332</v>
      </c>
      <c r="B219" s="4">
        <v>1.0</v>
      </c>
      <c r="C219" s="1" t="s">
        <v>358</v>
      </c>
      <c r="D219" s="1" t="s">
        <v>359</v>
      </c>
      <c r="E219" s="1" t="s">
        <v>161</v>
      </c>
      <c r="F219" s="6" t="s">
        <v>360</v>
      </c>
    </row>
    <row r="220" ht="15.75" customHeight="1">
      <c r="A220" s="6" t="s">
        <v>333</v>
      </c>
      <c r="B220" s="4">
        <v>1.0</v>
      </c>
      <c r="C220" s="1" t="s">
        <v>358</v>
      </c>
      <c r="D220" s="1" t="s">
        <v>359</v>
      </c>
      <c r="E220" s="1" t="s">
        <v>161</v>
      </c>
      <c r="F220" s="6" t="s">
        <v>360</v>
      </c>
    </row>
    <row r="221" ht="15.75" customHeight="1">
      <c r="A221" s="6" t="s">
        <v>334</v>
      </c>
      <c r="B221" s="4">
        <v>1.0</v>
      </c>
      <c r="C221" s="1" t="s">
        <v>358</v>
      </c>
      <c r="D221" s="1" t="s">
        <v>359</v>
      </c>
      <c r="E221" s="1" t="s">
        <v>161</v>
      </c>
      <c r="F221" s="6" t="s">
        <v>360</v>
      </c>
    </row>
    <row r="222" ht="15.75" customHeight="1">
      <c r="A222" s="6" t="s">
        <v>335</v>
      </c>
      <c r="B222" s="4">
        <v>1.0</v>
      </c>
      <c r="C222" s="1" t="s">
        <v>358</v>
      </c>
      <c r="D222" s="1" t="s">
        <v>359</v>
      </c>
      <c r="E222" s="1" t="s">
        <v>161</v>
      </c>
      <c r="F222" s="6" t="s">
        <v>360</v>
      </c>
    </row>
    <row r="223" ht="15.75" customHeight="1">
      <c r="A223" s="6" t="s">
        <v>336</v>
      </c>
      <c r="B223" s="4">
        <v>1.0</v>
      </c>
      <c r="C223" s="1" t="s">
        <v>358</v>
      </c>
      <c r="D223" s="1" t="s">
        <v>359</v>
      </c>
      <c r="E223" s="1" t="s">
        <v>161</v>
      </c>
      <c r="F223" s="6" t="s">
        <v>360</v>
      </c>
    </row>
    <row r="224" ht="15.75" customHeight="1">
      <c r="A224" s="6" t="s">
        <v>337</v>
      </c>
      <c r="B224" s="4">
        <v>1.0</v>
      </c>
      <c r="C224" s="1" t="s">
        <v>358</v>
      </c>
      <c r="D224" s="1" t="s">
        <v>359</v>
      </c>
      <c r="E224" s="1" t="s">
        <v>161</v>
      </c>
      <c r="F224" s="6" t="s">
        <v>360</v>
      </c>
    </row>
    <row r="225" ht="15.75" customHeight="1">
      <c r="A225" s="1" t="s">
        <v>361</v>
      </c>
      <c r="B225" s="4">
        <v>1.0</v>
      </c>
      <c r="C225" s="1" t="s">
        <v>362</v>
      </c>
      <c r="D225" s="1" t="s">
        <v>363</v>
      </c>
      <c r="E225" s="1" t="s">
        <v>161</v>
      </c>
      <c r="F225" s="6" t="s">
        <v>364</v>
      </c>
    </row>
    <row r="226" ht="15.75" customHeight="1">
      <c r="A226" s="6" t="s">
        <v>365</v>
      </c>
      <c r="B226" s="4">
        <v>1.0</v>
      </c>
      <c r="C226" s="1" t="s">
        <v>366</v>
      </c>
      <c r="D226" s="1" t="s">
        <v>367</v>
      </c>
      <c r="E226" s="1" t="s">
        <v>161</v>
      </c>
      <c r="F226" s="6" t="s">
        <v>368</v>
      </c>
    </row>
    <row r="227" ht="15.75" customHeight="1">
      <c r="A227" s="6" t="s">
        <v>347</v>
      </c>
      <c r="B227" s="4">
        <v>1.0</v>
      </c>
      <c r="C227" s="1" t="s">
        <v>369</v>
      </c>
      <c r="D227" s="1" t="s">
        <v>370</v>
      </c>
      <c r="E227" s="1" t="s">
        <v>161</v>
      </c>
      <c r="F227" s="6" t="s">
        <v>371</v>
      </c>
    </row>
    <row r="228" ht="15.75" customHeight="1">
      <c r="A228" s="6" t="s">
        <v>348</v>
      </c>
      <c r="B228" s="4">
        <v>0.0</v>
      </c>
      <c r="C228" s="1" t="s">
        <v>369</v>
      </c>
      <c r="D228" s="1" t="s">
        <v>370</v>
      </c>
      <c r="E228" s="1" t="s">
        <v>161</v>
      </c>
      <c r="F228" s="6" t="s">
        <v>371</v>
      </c>
    </row>
    <row r="229" ht="15.75" customHeight="1">
      <c r="A229" s="6" t="s">
        <v>339</v>
      </c>
      <c r="B229" s="4">
        <v>1.0</v>
      </c>
      <c r="C229" s="1" t="s">
        <v>372</v>
      </c>
      <c r="D229" s="1" t="s">
        <v>373</v>
      </c>
      <c r="E229" s="1" t="s">
        <v>161</v>
      </c>
      <c r="F229" s="6" t="s">
        <v>374</v>
      </c>
    </row>
    <row r="230" ht="15.75" customHeight="1">
      <c r="A230" s="6" t="s">
        <v>361</v>
      </c>
      <c r="B230" s="4">
        <v>1.0</v>
      </c>
      <c r="C230" s="1" t="s">
        <v>375</v>
      </c>
      <c r="D230" s="1" t="s">
        <v>376</v>
      </c>
      <c r="E230" s="1" t="s">
        <v>161</v>
      </c>
      <c r="F230" s="6" t="s">
        <v>377</v>
      </c>
    </row>
    <row r="231" ht="15.75" customHeight="1">
      <c r="A231" s="6" t="s">
        <v>343</v>
      </c>
      <c r="B231" s="4">
        <v>1.0</v>
      </c>
      <c r="C231" s="1" t="s">
        <v>378</v>
      </c>
      <c r="D231" s="1" t="s">
        <v>379</v>
      </c>
      <c r="E231" s="1" t="s">
        <v>161</v>
      </c>
      <c r="F231" s="6" t="s">
        <v>380</v>
      </c>
    </row>
    <row r="232" ht="15.75" customHeight="1">
      <c r="A232" s="1" t="s">
        <v>365</v>
      </c>
      <c r="B232" s="4">
        <v>1.0</v>
      </c>
      <c r="C232" s="1" t="s">
        <v>381</v>
      </c>
      <c r="D232" s="1" t="s">
        <v>382</v>
      </c>
      <c r="E232" s="1" t="s">
        <v>161</v>
      </c>
      <c r="F232" s="6" t="s">
        <v>383</v>
      </c>
    </row>
    <row r="233" ht="15.75" customHeight="1">
      <c r="A233" s="1" t="s">
        <v>318</v>
      </c>
      <c r="B233" s="4">
        <v>1.0</v>
      </c>
      <c r="C233" s="1" t="s">
        <v>381</v>
      </c>
      <c r="D233" s="1" t="s">
        <v>382</v>
      </c>
      <c r="E233" s="1" t="s">
        <v>161</v>
      </c>
      <c r="F233" s="6" t="s">
        <v>383</v>
      </c>
    </row>
    <row r="234" ht="15.75" customHeight="1">
      <c r="A234" s="1" t="s">
        <v>307</v>
      </c>
      <c r="B234" s="4">
        <v>1.0</v>
      </c>
      <c r="C234" s="1" t="s">
        <v>381</v>
      </c>
      <c r="D234" s="1" t="s">
        <v>382</v>
      </c>
      <c r="E234" s="1" t="s">
        <v>161</v>
      </c>
      <c r="F234" s="6" t="s">
        <v>383</v>
      </c>
    </row>
    <row r="235" ht="15.75" customHeight="1">
      <c r="A235" s="1" t="s">
        <v>301</v>
      </c>
      <c r="B235" s="4">
        <v>1.0</v>
      </c>
      <c r="C235" s="1" t="s">
        <v>381</v>
      </c>
      <c r="D235" s="1" t="s">
        <v>382</v>
      </c>
      <c r="E235" s="1" t="s">
        <v>161</v>
      </c>
      <c r="F235" s="6" t="s">
        <v>383</v>
      </c>
    </row>
    <row r="236" ht="15.75" customHeight="1">
      <c r="A236" s="1" t="s">
        <v>305</v>
      </c>
      <c r="B236" s="4">
        <v>1.0</v>
      </c>
      <c r="C236" s="1" t="s">
        <v>381</v>
      </c>
      <c r="D236" s="1" t="s">
        <v>382</v>
      </c>
      <c r="E236" s="1" t="s">
        <v>161</v>
      </c>
      <c r="F236" s="6" t="s">
        <v>383</v>
      </c>
    </row>
    <row r="237" ht="15.75" customHeight="1">
      <c r="A237" s="1" t="s">
        <v>297</v>
      </c>
      <c r="B237" s="4">
        <v>1.0</v>
      </c>
      <c r="C237" s="1" t="s">
        <v>381</v>
      </c>
      <c r="D237" s="1" t="s">
        <v>382</v>
      </c>
      <c r="E237" s="1" t="s">
        <v>161</v>
      </c>
      <c r="F237" s="6" t="s">
        <v>383</v>
      </c>
    </row>
    <row r="238" ht="15.75" customHeight="1">
      <c r="A238" s="6" t="s">
        <v>306</v>
      </c>
      <c r="B238" s="4">
        <v>1.0</v>
      </c>
      <c r="C238" s="1" t="s">
        <v>381</v>
      </c>
      <c r="D238" s="1" t="s">
        <v>382</v>
      </c>
      <c r="E238" s="1" t="s">
        <v>161</v>
      </c>
      <c r="F238" s="6" t="s">
        <v>383</v>
      </c>
    </row>
    <row r="239" ht="15.75" customHeight="1">
      <c r="A239" s="1" t="s">
        <v>322</v>
      </c>
      <c r="B239" s="4">
        <v>1.0</v>
      </c>
      <c r="C239" s="1" t="s">
        <v>381</v>
      </c>
      <c r="D239" s="1" t="s">
        <v>382</v>
      </c>
      <c r="E239" s="1" t="s">
        <v>161</v>
      </c>
      <c r="F239" s="6" t="s">
        <v>383</v>
      </c>
    </row>
    <row r="240" ht="15.75" customHeight="1">
      <c r="A240" s="1" t="s">
        <v>323</v>
      </c>
      <c r="B240" s="4">
        <v>1.0</v>
      </c>
      <c r="C240" s="1" t="s">
        <v>381</v>
      </c>
      <c r="D240" s="1" t="s">
        <v>382</v>
      </c>
      <c r="E240" s="1" t="s">
        <v>161</v>
      </c>
      <c r="F240" s="6" t="s">
        <v>383</v>
      </c>
    </row>
    <row r="241" ht="15.75" customHeight="1">
      <c r="A241" s="1" t="s">
        <v>324</v>
      </c>
      <c r="B241" s="4">
        <v>1.0</v>
      </c>
      <c r="C241" s="1" t="s">
        <v>381</v>
      </c>
      <c r="D241" s="1" t="s">
        <v>382</v>
      </c>
      <c r="E241" s="1" t="s">
        <v>161</v>
      </c>
      <c r="F241" s="6" t="s">
        <v>383</v>
      </c>
    </row>
    <row r="242" ht="15.75" customHeight="1">
      <c r="A242" s="1" t="s">
        <v>325</v>
      </c>
      <c r="B242" s="4">
        <v>1.0</v>
      </c>
      <c r="C242" s="1" t="s">
        <v>381</v>
      </c>
      <c r="D242" s="1" t="s">
        <v>382</v>
      </c>
      <c r="E242" s="1" t="s">
        <v>161</v>
      </c>
      <c r="F242" s="6" t="s">
        <v>383</v>
      </c>
    </row>
    <row r="243" ht="15.75" customHeight="1">
      <c r="A243" s="1" t="s">
        <v>326</v>
      </c>
      <c r="B243" s="4">
        <v>1.0</v>
      </c>
      <c r="C243" s="1" t="s">
        <v>381</v>
      </c>
      <c r="D243" s="1" t="s">
        <v>382</v>
      </c>
      <c r="E243" s="1" t="s">
        <v>161</v>
      </c>
      <c r="F243" s="6" t="s">
        <v>383</v>
      </c>
    </row>
    <row r="244" ht="15.75" customHeight="1">
      <c r="A244" s="1" t="s">
        <v>327</v>
      </c>
      <c r="B244" s="4">
        <v>1.0</v>
      </c>
      <c r="C244" s="1" t="s">
        <v>381</v>
      </c>
      <c r="D244" s="1" t="s">
        <v>382</v>
      </c>
      <c r="E244" s="1" t="s">
        <v>161</v>
      </c>
      <c r="F244" s="6" t="s">
        <v>383</v>
      </c>
    </row>
    <row r="245" ht="15.75" customHeight="1">
      <c r="A245" s="1" t="s">
        <v>328</v>
      </c>
      <c r="B245" s="4">
        <v>1.0</v>
      </c>
      <c r="C245" s="1" t="s">
        <v>381</v>
      </c>
      <c r="D245" s="1" t="s">
        <v>382</v>
      </c>
      <c r="E245" s="1" t="s">
        <v>161</v>
      </c>
      <c r="F245" s="6" t="s">
        <v>383</v>
      </c>
    </row>
    <row r="246" ht="15.75" customHeight="1">
      <c r="A246" s="1" t="s">
        <v>329</v>
      </c>
      <c r="B246" s="4">
        <v>1.0</v>
      </c>
      <c r="C246" s="1" t="s">
        <v>381</v>
      </c>
      <c r="D246" s="1" t="s">
        <v>382</v>
      </c>
      <c r="E246" s="1" t="s">
        <v>161</v>
      </c>
      <c r="F246" s="6" t="s">
        <v>383</v>
      </c>
    </row>
    <row r="247" ht="15.75" customHeight="1">
      <c r="A247" s="1" t="s">
        <v>330</v>
      </c>
      <c r="B247" s="4">
        <v>1.0</v>
      </c>
      <c r="C247" s="1" t="s">
        <v>381</v>
      </c>
      <c r="D247" s="1" t="s">
        <v>382</v>
      </c>
      <c r="E247" s="1" t="s">
        <v>161</v>
      </c>
      <c r="F247" s="6" t="s">
        <v>383</v>
      </c>
    </row>
    <row r="248" ht="15.75" customHeight="1">
      <c r="A248" s="1" t="s">
        <v>331</v>
      </c>
      <c r="B248" s="4">
        <v>1.0</v>
      </c>
      <c r="C248" s="1" t="s">
        <v>381</v>
      </c>
      <c r="D248" s="1" t="s">
        <v>382</v>
      </c>
      <c r="E248" s="1" t="s">
        <v>161</v>
      </c>
      <c r="F248" s="6" t="s">
        <v>383</v>
      </c>
    </row>
    <row r="249" ht="15.75" customHeight="1">
      <c r="A249" s="1" t="s">
        <v>332</v>
      </c>
      <c r="B249" s="4">
        <v>1.0</v>
      </c>
      <c r="C249" s="1" t="s">
        <v>381</v>
      </c>
      <c r="D249" s="1" t="s">
        <v>382</v>
      </c>
      <c r="E249" s="1" t="s">
        <v>161</v>
      </c>
      <c r="F249" s="6" t="s">
        <v>383</v>
      </c>
    </row>
    <row r="250" ht="15.75" customHeight="1">
      <c r="A250" s="1" t="s">
        <v>333</v>
      </c>
      <c r="B250" s="4">
        <v>1.0</v>
      </c>
      <c r="C250" s="1" t="s">
        <v>381</v>
      </c>
      <c r="D250" s="1" t="s">
        <v>382</v>
      </c>
      <c r="E250" s="1" t="s">
        <v>161</v>
      </c>
      <c r="F250" s="6" t="s">
        <v>383</v>
      </c>
    </row>
    <row r="251" ht="15.75" customHeight="1">
      <c r="A251" s="1" t="s">
        <v>334</v>
      </c>
      <c r="B251" s="4">
        <v>1.0</v>
      </c>
      <c r="C251" s="1" t="s">
        <v>381</v>
      </c>
      <c r="D251" s="1" t="s">
        <v>382</v>
      </c>
      <c r="E251" s="1" t="s">
        <v>161</v>
      </c>
      <c r="F251" s="6" t="s">
        <v>383</v>
      </c>
    </row>
    <row r="252" ht="15.75" customHeight="1">
      <c r="A252" s="1" t="s">
        <v>335</v>
      </c>
      <c r="B252" s="4">
        <v>1.0</v>
      </c>
      <c r="C252" s="1" t="s">
        <v>381</v>
      </c>
      <c r="D252" s="1" t="s">
        <v>382</v>
      </c>
      <c r="E252" s="1" t="s">
        <v>161</v>
      </c>
      <c r="F252" s="6" t="s">
        <v>383</v>
      </c>
    </row>
    <row r="253" ht="15.75" customHeight="1">
      <c r="A253" s="1" t="s">
        <v>336</v>
      </c>
      <c r="B253" s="4">
        <v>1.0</v>
      </c>
      <c r="C253" s="1" t="s">
        <v>381</v>
      </c>
      <c r="D253" s="1" t="s">
        <v>382</v>
      </c>
      <c r="E253" s="1" t="s">
        <v>161</v>
      </c>
      <c r="F253" s="6" t="s">
        <v>383</v>
      </c>
    </row>
    <row r="254" ht="15.75" customHeight="1">
      <c r="A254" s="1" t="s">
        <v>337</v>
      </c>
      <c r="B254" s="4">
        <v>1.0</v>
      </c>
      <c r="C254" s="1" t="s">
        <v>381</v>
      </c>
      <c r="D254" s="1" t="s">
        <v>382</v>
      </c>
      <c r="E254" s="1" t="s">
        <v>161</v>
      </c>
      <c r="F254" s="6" t="s">
        <v>383</v>
      </c>
    </row>
    <row r="255" ht="15.75" customHeight="1">
      <c r="A255" s="1" t="s">
        <v>338</v>
      </c>
      <c r="B255" s="4">
        <v>1.0</v>
      </c>
      <c r="C255" s="1" t="s">
        <v>381</v>
      </c>
      <c r="D255" s="1" t="s">
        <v>382</v>
      </c>
      <c r="E255" s="1" t="s">
        <v>161</v>
      </c>
      <c r="F255" s="6" t="s">
        <v>383</v>
      </c>
    </row>
    <row r="256" ht="15.75" customHeight="1">
      <c r="A256" s="6" t="s">
        <v>361</v>
      </c>
      <c r="B256" s="4">
        <v>1.0</v>
      </c>
      <c r="C256" s="1" t="s">
        <v>384</v>
      </c>
      <c r="D256" s="1" t="s">
        <v>385</v>
      </c>
      <c r="E256" s="1" t="s">
        <v>161</v>
      </c>
      <c r="F256" s="6" t="s">
        <v>386</v>
      </c>
    </row>
    <row r="257" ht="15.75" customHeight="1">
      <c r="A257" s="1" t="s">
        <v>339</v>
      </c>
      <c r="B257" s="4">
        <v>1.0</v>
      </c>
      <c r="C257" s="1" t="s">
        <v>384</v>
      </c>
      <c r="D257" s="1" t="s">
        <v>385</v>
      </c>
      <c r="E257" s="1" t="s">
        <v>161</v>
      </c>
      <c r="F257" s="6" t="s">
        <v>386</v>
      </c>
    </row>
    <row r="258" ht="15.75" customHeight="1">
      <c r="A258" s="1" t="s">
        <v>343</v>
      </c>
      <c r="B258" s="4">
        <v>1.0</v>
      </c>
      <c r="C258" s="1" t="s">
        <v>384</v>
      </c>
      <c r="D258" s="1" t="s">
        <v>385</v>
      </c>
      <c r="E258" s="1" t="s">
        <v>161</v>
      </c>
      <c r="F258" s="6" t="s">
        <v>386</v>
      </c>
    </row>
    <row r="259" ht="15.75" customHeight="1">
      <c r="A259" s="1" t="s">
        <v>347</v>
      </c>
      <c r="B259" s="4">
        <v>1.0</v>
      </c>
      <c r="C259" s="1" t="s">
        <v>384</v>
      </c>
      <c r="D259" s="1" t="s">
        <v>385</v>
      </c>
      <c r="E259" s="1" t="s">
        <v>161</v>
      </c>
      <c r="F259" s="6" t="s">
        <v>386</v>
      </c>
    </row>
    <row r="260" ht="15.75" customHeight="1">
      <c r="A260" s="1" t="s">
        <v>348</v>
      </c>
      <c r="B260" s="4">
        <v>1.0</v>
      </c>
      <c r="C260" s="1" t="s">
        <v>384</v>
      </c>
      <c r="D260" s="1" t="s">
        <v>385</v>
      </c>
      <c r="E260" s="1" t="s">
        <v>161</v>
      </c>
      <c r="F260" s="6" t="s">
        <v>386</v>
      </c>
    </row>
    <row r="261" ht="15.75" customHeight="1">
      <c r="A261" s="1" t="s">
        <v>387</v>
      </c>
      <c r="B261" s="4">
        <v>0.0</v>
      </c>
      <c r="C261" s="5"/>
      <c r="D261" s="5"/>
      <c r="E261" s="5"/>
      <c r="F261" s="5"/>
    </row>
    <row r="262" ht="15.75" customHeight="1">
      <c r="A262" s="1" t="s">
        <v>388</v>
      </c>
      <c r="B262" s="4">
        <v>0.0</v>
      </c>
      <c r="C262" s="5"/>
      <c r="D262" s="5"/>
      <c r="E262" s="5"/>
      <c r="F262" s="5"/>
    </row>
    <row r="263" ht="15.75" customHeight="1">
      <c r="A263" s="1" t="s">
        <v>246</v>
      </c>
      <c r="B263" s="4">
        <v>0.0</v>
      </c>
      <c r="C263" s="7"/>
      <c r="D263" s="7"/>
      <c r="E263" s="7"/>
      <c r="F263" s="7"/>
    </row>
    <row r="264" ht="15.75" customHeight="1">
      <c r="A264" s="6" t="s">
        <v>235</v>
      </c>
      <c r="B264" s="4">
        <v>0.0</v>
      </c>
      <c r="C264" s="7"/>
      <c r="D264" s="7"/>
      <c r="E264" s="7"/>
      <c r="F264" s="7"/>
    </row>
    <row r="265" ht="15.75" customHeight="1">
      <c r="A265" s="1" t="s">
        <v>250</v>
      </c>
      <c r="B265" s="4">
        <v>0.0</v>
      </c>
      <c r="C265" s="5"/>
      <c r="D265" s="5"/>
      <c r="E265" s="5"/>
      <c r="F265" s="5"/>
    </row>
    <row r="266" ht="15.75" customHeight="1">
      <c r="A266" s="1" t="s">
        <v>389</v>
      </c>
      <c r="B266" s="4">
        <v>0.0</v>
      </c>
      <c r="C266" s="5"/>
      <c r="D266" s="5"/>
      <c r="E266" s="5"/>
      <c r="F266" s="5"/>
    </row>
    <row r="267" ht="15.75" customHeight="1">
      <c r="A267" s="1" t="s">
        <v>184</v>
      </c>
      <c r="B267" s="4">
        <v>0.0</v>
      </c>
      <c r="C267" s="7"/>
      <c r="D267" s="7"/>
      <c r="E267" s="7"/>
      <c r="F267" s="7"/>
    </row>
    <row r="268" ht="15.75" customHeight="1">
      <c r="A268" s="1" t="s">
        <v>390</v>
      </c>
      <c r="B268" s="4">
        <v>0.0</v>
      </c>
      <c r="C268" s="5"/>
      <c r="D268" s="5"/>
      <c r="E268" s="5"/>
      <c r="F268" s="5"/>
    </row>
    <row r="269" ht="15.75" customHeight="1">
      <c r="A269" s="1" t="s">
        <v>391</v>
      </c>
      <c r="B269" s="4">
        <v>0.0</v>
      </c>
      <c r="C269" s="5"/>
      <c r="D269" s="5"/>
      <c r="E269" s="5"/>
      <c r="F269" s="5"/>
    </row>
    <row r="270" ht="15.75" customHeight="1">
      <c r="A270" s="1" t="s">
        <v>392</v>
      </c>
      <c r="B270" s="4">
        <v>0.0</v>
      </c>
      <c r="C270" s="5"/>
      <c r="D270" s="5"/>
      <c r="E270" s="5"/>
      <c r="F270" s="5"/>
    </row>
    <row r="271" ht="15.75" customHeight="1">
      <c r="A271" s="1" t="s">
        <v>16</v>
      </c>
      <c r="B271" s="4">
        <v>0.0</v>
      </c>
      <c r="C271" s="5"/>
      <c r="D271" s="5"/>
      <c r="E271" s="5"/>
      <c r="F271" s="5"/>
    </row>
    <row r="272" ht="15.75" customHeight="1">
      <c r="A272" s="1" t="s">
        <v>393</v>
      </c>
      <c r="B272" s="4">
        <v>0.0</v>
      </c>
      <c r="C272" s="5"/>
      <c r="D272" s="5"/>
      <c r="E272" s="5"/>
      <c r="F272" s="5"/>
    </row>
    <row r="273" ht="15.75" customHeight="1">
      <c r="A273" s="1" t="s">
        <v>394</v>
      </c>
      <c r="B273" s="4">
        <v>0.0</v>
      </c>
      <c r="C273" s="7"/>
      <c r="D273" s="7"/>
      <c r="E273" s="7"/>
      <c r="F273" s="7"/>
    </row>
    <row r="274" ht="15.75" customHeight="1">
      <c r="A274" s="1" t="s">
        <v>395</v>
      </c>
      <c r="B274" s="4">
        <v>0.0</v>
      </c>
      <c r="C274" s="7"/>
      <c r="D274" s="7"/>
      <c r="E274" s="7"/>
      <c r="F274" s="7"/>
    </row>
    <row r="275" ht="15.75" customHeight="1">
      <c r="A275" s="1" t="s">
        <v>396</v>
      </c>
      <c r="B275" s="4">
        <v>0.0</v>
      </c>
      <c r="C275" s="5"/>
      <c r="D275" s="5"/>
      <c r="E275" s="5"/>
      <c r="F275" s="5"/>
    </row>
    <row r="276" ht="15.75" customHeight="1">
      <c r="A276" s="1" t="s">
        <v>197</v>
      </c>
      <c r="B276" s="4">
        <v>0.0</v>
      </c>
      <c r="C276" s="7"/>
      <c r="D276" s="7"/>
      <c r="E276" s="7"/>
      <c r="F276" s="7"/>
    </row>
    <row r="277" ht="15.75" customHeight="1">
      <c r="A277" s="1" t="s">
        <v>192</v>
      </c>
      <c r="B277" s="4">
        <v>0.0</v>
      </c>
      <c r="C277" s="7"/>
      <c r="D277" s="7"/>
      <c r="E277" s="7"/>
      <c r="F277" s="7"/>
    </row>
    <row r="278" ht="15.75" customHeight="1">
      <c r="A278" s="1" t="s">
        <v>201</v>
      </c>
      <c r="B278" s="4">
        <v>0.0</v>
      </c>
      <c r="C278" s="7"/>
      <c r="D278" s="7"/>
      <c r="E278" s="7"/>
      <c r="F278" s="7"/>
    </row>
    <row r="279" ht="15.75" customHeight="1">
      <c r="A279" s="1" t="s">
        <v>196</v>
      </c>
      <c r="B279" s="4">
        <v>0.0</v>
      </c>
      <c r="C279" s="7"/>
      <c r="D279" s="7"/>
      <c r="E279" s="7"/>
      <c r="F279" s="7"/>
    </row>
    <row r="280" ht="15.75" customHeight="1">
      <c r="A280" s="1" t="s">
        <v>397</v>
      </c>
      <c r="B280" s="4">
        <v>0.0</v>
      </c>
      <c r="C280" s="7"/>
      <c r="D280" s="7"/>
      <c r="E280" s="7"/>
      <c r="F280" s="7"/>
    </row>
    <row r="281" ht="15.75" customHeight="1">
      <c r="A281" s="1" t="s">
        <v>398</v>
      </c>
      <c r="B281" s="4">
        <v>0.0</v>
      </c>
      <c r="C281" s="7"/>
      <c r="D281" s="7"/>
      <c r="E281" s="7"/>
      <c r="F281" s="7"/>
    </row>
    <row r="282" ht="15.75" customHeight="1">
      <c r="A282" s="1" t="s">
        <v>399</v>
      </c>
      <c r="B282" s="4">
        <v>0.0</v>
      </c>
      <c r="C282" s="7"/>
      <c r="D282" s="7"/>
      <c r="E282" s="7"/>
      <c r="F282" s="7"/>
    </row>
    <row r="283" ht="15.75" customHeight="1">
      <c r="A283" s="1" t="s">
        <v>400</v>
      </c>
      <c r="B283" s="4">
        <v>1.0</v>
      </c>
      <c r="C283" s="7"/>
      <c r="D283" s="7"/>
      <c r="E283" s="7"/>
      <c r="F283" s="6" t="s">
        <v>401</v>
      </c>
    </row>
    <row r="284" ht="15.75" customHeight="1">
      <c r="A284" s="1" t="s">
        <v>402</v>
      </c>
      <c r="B284" s="4">
        <v>0.0</v>
      </c>
      <c r="C284" s="7"/>
      <c r="D284" s="7"/>
      <c r="E284" s="7"/>
      <c r="F284" s="7"/>
    </row>
    <row r="285" ht="15.75" customHeight="1">
      <c r="A285" s="1" t="s">
        <v>403</v>
      </c>
      <c r="B285" s="4">
        <v>0.0</v>
      </c>
      <c r="C285" s="7"/>
      <c r="D285" s="7"/>
      <c r="E285" s="7"/>
      <c r="F285" s="7"/>
    </row>
    <row r="286" ht="15.75" customHeight="1">
      <c r="A286" s="1" t="s">
        <v>404</v>
      </c>
      <c r="B286" s="4">
        <v>0.0</v>
      </c>
      <c r="C286" s="5"/>
      <c r="D286" s="5"/>
      <c r="E286" s="5"/>
      <c r="F286" s="5"/>
    </row>
    <row r="287" ht="15.75" customHeight="1">
      <c r="A287" s="1" t="s">
        <v>405</v>
      </c>
      <c r="B287" s="4">
        <v>0.0</v>
      </c>
      <c r="C287" s="5"/>
      <c r="D287" s="5"/>
      <c r="E287" s="5"/>
      <c r="F287" s="5"/>
    </row>
    <row r="288" ht="15.75" customHeight="1">
      <c r="A288" s="1" t="s">
        <v>406</v>
      </c>
      <c r="B288" s="4">
        <v>0.0</v>
      </c>
      <c r="C288" s="5"/>
      <c r="D288" s="5"/>
      <c r="E288" s="5"/>
      <c r="F288" s="5"/>
    </row>
    <row r="289" ht="15.75" customHeight="1">
      <c r="A289" s="1" t="s">
        <v>407</v>
      </c>
      <c r="B289" s="4">
        <v>0.0</v>
      </c>
      <c r="C289" s="5"/>
      <c r="D289" s="5"/>
      <c r="E289" s="5"/>
      <c r="F289" s="5"/>
    </row>
    <row r="290" ht="15.75" customHeight="1">
      <c r="A290" s="1" t="s">
        <v>408</v>
      </c>
      <c r="B290" s="4">
        <v>0.0</v>
      </c>
      <c r="C290" s="5"/>
      <c r="D290" s="5"/>
      <c r="E290" s="5"/>
      <c r="F290" s="5"/>
    </row>
    <row r="291" ht="15.75" customHeight="1">
      <c r="A291" s="1" t="s">
        <v>409</v>
      </c>
      <c r="B291" s="4">
        <v>0.0</v>
      </c>
      <c r="C291" s="5"/>
      <c r="D291" s="5"/>
      <c r="E291" s="5"/>
      <c r="F291" s="5"/>
    </row>
    <row r="292" ht="15.75" customHeight="1">
      <c r="A292" s="1" t="s">
        <v>410</v>
      </c>
      <c r="B292" s="4">
        <v>0.0</v>
      </c>
      <c r="C292" s="5"/>
      <c r="D292" s="5"/>
      <c r="E292" s="5"/>
      <c r="F292" s="5"/>
    </row>
    <row r="293" ht="15.75" customHeight="1">
      <c r="A293" s="1" t="s">
        <v>411</v>
      </c>
      <c r="B293" s="4">
        <v>0.0</v>
      </c>
      <c r="C293" s="5"/>
      <c r="D293" s="5"/>
      <c r="E293" s="5"/>
      <c r="F293" s="5"/>
    </row>
    <row r="294" ht="15.75" customHeight="1">
      <c r="A294" s="1" t="s">
        <v>412</v>
      </c>
      <c r="B294" s="4">
        <v>0.0</v>
      </c>
      <c r="C294" s="5"/>
      <c r="D294" s="5"/>
      <c r="E294" s="5"/>
      <c r="F294" s="5"/>
    </row>
    <row r="295" ht="15.75" customHeight="1">
      <c r="A295" s="1" t="s">
        <v>413</v>
      </c>
      <c r="B295" s="4">
        <v>0.0</v>
      </c>
      <c r="C295" s="5"/>
      <c r="D295" s="5"/>
      <c r="E295" s="5"/>
      <c r="F295" s="5"/>
    </row>
    <row r="296" ht="15.75" customHeight="1">
      <c r="A296" s="1" t="s">
        <v>414</v>
      </c>
      <c r="B296" s="4">
        <v>0.0</v>
      </c>
      <c r="C296" s="7"/>
      <c r="D296" s="7"/>
      <c r="E296" s="7"/>
      <c r="F296" s="7"/>
    </row>
    <row r="297" ht="15.75" customHeight="1">
      <c r="A297" s="1" t="s">
        <v>415</v>
      </c>
      <c r="B297" s="4">
        <v>0.0</v>
      </c>
      <c r="C297" s="5"/>
      <c r="D297" s="5"/>
      <c r="E297" s="5"/>
      <c r="F297" s="5"/>
    </row>
    <row r="298" ht="15.75" customHeight="1">
      <c r="A298" s="1" t="s">
        <v>416</v>
      </c>
      <c r="B298" s="4">
        <v>0.0</v>
      </c>
      <c r="C298" s="7"/>
      <c r="D298" s="7"/>
      <c r="E298" s="7"/>
      <c r="F298" s="7"/>
    </row>
    <row r="299" ht="15.75" customHeight="1">
      <c r="A299" s="1" t="s">
        <v>417</v>
      </c>
      <c r="B299" s="4">
        <v>0.0</v>
      </c>
      <c r="C299" s="5"/>
      <c r="D299" s="5"/>
      <c r="E299" s="5"/>
      <c r="F299" s="5"/>
    </row>
    <row r="300" ht="15.75" customHeight="1">
      <c r="A300" s="1" t="s">
        <v>418</v>
      </c>
      <c r="B300" s="4">
        <v>0.0</v>
      </c>
      <c r="C300" s="5"/>
      <c r="D300" s="5"/>
      <c r="E300" s="5"/>
      <c r="F300" s="5"/>
    </row>
    <row r="301" ht="15.75" customHeight="1">
      <c r="A301" s="1" t="s">
        <v>419</v>
      </c>
      <c r="B301" s="4">
        <v>0.0</v>
      </c>
      <c r="C301" s="5"/>
      <c r="D301" s="5"/>
      <c r="E301" s="5"/>
      <c r="F301" s="5"/>
    </row>
    <row r="302" ht="15.75" customHeight="1">
      <c r="A302" s="1" t="s">
        <v>420</v>
      </c>
      <c r="B302" s="4">
        <v>0.0</v>
      </c>
      <c r="C302" s="5"/>
      <c r="D302" s="5"/>
      <c r="E302" s="5"/>
      <c r="F302" s="5"/>
    </row>
    <row r="303" ht="15.75" customHeight="1">
      <c r="A303" s="1" t="s">
        <v>421</v>
      </c>
      <c r="B303" s="4">
        <v>0.0</v>
      </c>
      <c r="C303" s="5"/>
      <c r="D303" s="5"/>
      <c r="E303" s="5"/>
      <c r="F303" s="5"/>
    </row>
    <row r="304" ht="15.75" customHeight="1">
      <c r="A304" s="1" t="s">
        <v>422</v>
      </c>
      <c r="B304" s="4">
        <v>0.0</v>
      </c>
      <c r="C304" s="5"/>
      <c r="D304" s="5"/>
      <c r="E304" s="5"/>
      <c r="F304" s="5"/>
    </row>
    <row r="305" ht="15.75" customHeight="1">
      <c r="A305" s="1" t="s">
        <v>423</v>
      </c>
      <c r="B305" s="4">
        <v>0.0</v>
      </c>
      <c r="C305" s="5"/>
      <c r="D305" s="5"/>
      <c r="E305" s="5"/>
      <c r="F305" s="5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FIN.07.98.00" location="'Table 610'!A30" ref="F2"/>
    <hyperlink display="+ST1-XD0" location="'Table 606'!A47" ref="A7"/>
    <hyperlink display="WAGO.2002-1204" location="'Table 606'!A47" ref="F7"/>
    <hyperlink display="+ST1-XD0" location="null!J1" ref="A8"/>
    <hyperlink display="WAGO.2002-1207" location="'Table 606'!A47" ref="F8"/>
    <hyperlink display="+ST1-XD11" location="null!F1" ref="A30"/>
    <hyperlink display="WAGO.2002-2237" location="'Table 610'!A18" ref="F30"/>
    <hyperlink display="+ST1-XD30" location="null!A19" ref="A31"/>
    <hyperlink display="WAGO.2002-2237" location="'Table 610'!A28" ref="F31"/>
    <hyperlink display="WAGO.2004-1201" location="'Table 614'!A1" ref="F51"/>
    <hyperlink display="+ST1-107XTR24" location="'Table 614'!A8" ref="A54"/>
    <hyperlink display="WAGO.2006-1671/1000-848" location="'Table 614'!A8" ref="F54"/>
    <hyperlink display="+ST1-110XTR48" location="'Table 614'!A11" ref="A55"/>
    <hyperlink display="WAGO.2006-1671/1000-849" location="'Table 614'!A11" ref="F55"/>
    <hyperlink display="+ST1-XDS48" location="'Table 614'!A1" ref="A57"/>
    <hyperlink display="WAGO.2006-1681" location="'Table 614'!A1" ref="F57"/>
    <hyperlink display="+ST1-107XTR24" location="'Table 614'!A8" ref="A60"/>
    <hyperlink display="WAGO.2006-1692" location="'Table 614'!A8" ref="F60"/>
    <hyperlink display="+ST1-110XTR48" location="'Table 614'!A11" ref="A61"/>
    <hyperlink display="WAGO.2006-1692" location="'Table 614'!A11" ref="F61"/>
    <hyperlink display="WAGO.249-117" location="null!A14" ref="F64"/>
    <hyperlink display="+ST1-107XTR24" location="null!A1" ref="A79"/>
    <hyperlink display="WAGO.249-117" location="'Table 614'!A8" ref="F79"/>
    <hyperlink display="+ST1-110XTR48" location="null!A1" ref="A80"/>
    <hyperlink display="WAGO.249-117" location="'Table 614'!A11" ref="F80"/>
    <hyperlink display="+ST1-108FC24.1" location="null!A14" ref="A102"/>
    <hyperlink display="WAGO.281-311" location="null!A14" ref="F102"/>
    <hyperlink display="+ST1-108FC24.1" location="null!A14" ref="A103"/>
    <hyperlink display="WAGO.281-402" location="null!A14" ref="F103"/>
    <hyperlink display="+ST1-108FC24.1" location="null!A14" ref="A104"/>
    <hyperlink display="WAGO.281-611/281-541" location="null!A14" ref="F104"/>
    <hyperlink display="WAGO.281-611/281-541" location="null!A15" ref="F105"/>
    <hyperlink display="WAGO.281-611/281-541" location="null!A16" ref="F106"/>
    <hyperlink display="+ST1-120QA1A" location="'Table 606'!A17" ref="A107"/>
    <hyperlink display="SIE.3RH2911-1FA40" location="'Table 606'!A17" ref="F107"/>
    <hyperlink display="+ST1-120QA1B" location="'Table 606'!A20" ref="A108"/>
    <hyperlink display="SIE.3RH2911-1FA40" location="'Table 606'!A20" ref="F108"/>
    <hyperlink display="+ST1-120QA2A" location="'Table 606'!A23" ref="A109"/>
    <hyperlink display="SIE.3RH2911-1FA40" location="'Table 606'!A23" ref="F109"/>
    <hyperlink display="+ST1-120QA2B" location="'Table 606'!A26" ref="A110"/>
    <hyperlink display="SIE.3RH2911-1FA40" location="'Table 606'!A26" ref="F110"/>
    <hyperlink display="+ST1-311QA1" location="'Table 606'!A28" ref="A111"/>
    <hyperlink display="SIE.3RT2015-1BB41" location="'Table 606'!A28" ref="F111"/>
    <hyperlink display="+ST1-120QA2A" location="'Table 606'!A23" ref="A112"/>
    <hyperlink display="SIE.3RT2015-1BB42" location="'Table 606'!A23" ref="F112"/>
    <hyperlink display="+ST1-120QA2B" location="'Table 606'!A26" ref="A113"/>
    <hyperlink display="SIE.3RT2015-1BB42" location="'Table 606'!A26" ref="F113"/>
    <hyperlink display="+ST1-120QA1A" location="'Table 606'!A17" ref="A114"/>
    <hyperlink display="SIE.3RT2018-1BB42" location="'Table 606'!A17" ref="F114"/>
    <hyperlink display="+ST1-120QA1B" location="'Table 606'!A20" ref="A115"/>
    <hyperlink display="SIE.3RT2018-1BB42" location="'Table 606'!A20" ref="F115"/>
    <hyperlink display="SIE.3RT2916-1BB00" location="'Table 606'!A17" ref="F116"/>
    <hyperlink display="SIE.3RT2916-1BB00" location="'Table 606'!A20" ref="F117"/>
    <hyperlink display="SIE.3RT2916-1BB00" location="'Table 606'!A23" ref="F118"/>
    <hyperlink display="SIE.3RT2916-1BB00" location="'Table 606'!A26" ref="F119"/>
    <hyperlink display="SIE.3RT2916-1BB00" location="'Table 606'!A28" ref="F120"/>
    <hyperlink display="+ST1-311Q1" location="'Table 606'!A14" ref="A121"/>
    <hyperlink display="SIE.3RV2011-1DA10" location="'Table 606'!A14" ref="F121"/>
    <hyperlink display="SIE.3RV2011-1JA10" location="'Table 606'!A12" ref="F122"/>
    <hyperlink display="SIE.3RV2901-1E" location="'Table 606'!A14" ref="F123"/>
    <hyperlink display="FIN.48.52.7.024.0050" location="'Table 606'!A5" ref="F124"/>
    <hyperlink display="FIN.48.52.7.024.0050" location="'Table 606'!A6" ref="F125"/>
    <hyperlink display="FIN.49.62.9.024.0050" location="null!A31" ref="F126"/>
    <hyperlink display="BuR.5APC2100.BY01-000" location="null!A1" ref="F127"/>
    <hyperlink display="SIE.5ST3010" location="null!A18" ref="F128"/>
    <hyperlink display="SIE.5ST3010" location="null!A20" ref="F129"/>
    <hyperlink display="SIE.5SY4104-7" location="null!A10" ref="F130"/>
    <hyperlink display="SIE.5SY4106-7" location="null!A7" ref="F131"/>
    <hyperlink display="SIE.5SY4106-7" location="null!A8" ref="F132"/>
    <hyperlink display="SIE.5SY4110-6" location="null!A9" ref="F133"/>
    <hyperlink display="+ST1-310FC1" location="null!A18" ref="A134"/>
    <hyperlink display="SIE.5SY4116-6" location="null!A18" ref="F134"/>
    <hyperlink display="+ST1-315FC1" location="null!A20" ref="A135"/>
    <hyperlink display="SIE.5SY4116-6" location="null!A20" ref="F135"/>
    <hyperlink display="WER.649.000.02" location="'Table 606'!A10" ref="F136"/>
    <hyperlink display="FIN.77.45.9.024.8250" location="'Table 606'!A29" ref="F137"/>
    <hyperlink display="+ANL-302MA2" location="'Table 614'!A28" ref="A138"/>
    <hyperlink display="BuR.80MPD3.300S000-01" location="'Table 614'!A28" ref="F138"/>
    <hyperlink display="+ANL-304MA2" location="'Table 614'!A32" ref="A139"/>
    <hyperlink display="BuR.80MPD3.300S000-01" location="'Table 614'!A32" ref="F139"/>
    <hyperlink display="BuR.80MPF5.500D114-01" location="'Table 614'!A25" ref="F140"/>
    <hyperlink display="BuR.80MPF5.500D114-01" location="'Table 614'!A29" ref="F141"/>
    <hyperlink display="BuR.80SD100XD.C044-01" location="null!A1" ref="F142"/>
    <hyperlink display="BAL.BES01H6" location="'Table 614'!A37" ref="F144"/>
    <hyperlink display="BAL.BES01H6" location="'Table 614'!A38" ref="F145"/>
    <hyperlink display="PULS.CP20.481" location="'Table 606'!A38" ref="F146"/>
    <hyperlink display="SMC.D-M9NL" location="'Table 614'!A39" ref="F147"/>
    <hyperlink display="SMC.D-M9NL" location="'Table 614'!A40" ref="F148"/>
    <hyperlink display="SMC.D-M9NL" location="'Table 614'!A41" ref="F149"/>
    <hyperlink display="SMC.D-M9NL" location="'Table 614'!A42" ref="F150"/>
    <hyperlink display="+ST1-106SF1" location="'Table 606'!A34" ref="A153"/>
    <hyperlink display="ETN.216374" location="'Table 606'!A34" ref="F153"/>
    <hyperlink display="+ST1-131FN01" location="null!A26" ref="A154"/>
    <hyperlink display="ETN.M22-K01" location="null!A26" ref="F154"/>
    <hyperlink display="+ST1-106SF1" location="'Table 606'!A34" ref="A155"/>
    <hyperlink display="ETN.M22-K10" location="'Table 606'!A34" ref="F155"/>
    <hyperlink display="+ST1-131FN01" location="null!A26" ref="A156"/>
    <hyperlink display="ETN.M22-PV/K01" location="null!A26" ref="F156"/>
    <hyperlink display="+ST1-131FN1" location="null!A22" ref="A157"/>
    <hyperlink display="ETN.M22-PV/KC02/IY" location="null!A22" ref="F157"/>
    <hyperlink display="+ST1-131FN2" location="null!A28" ref="A158"/>
    <hyperlink display="ETN.M22-PV/KC02/IY" location="null!A28" ref="F158"/>
    <hyperlink display="+ST1-106SF1" location="'Table 606'!A34" ref="A159"/>
    <hyperlink display="ETN.M22-WRLK-W" location="'Table 606'!A34" ref="F159"/>
    <hyperlink display="ETN.121372" location="null!A26" ref="F160"/>
    <hyperlink display="ETN.M22S-ST-X" location="'Table 606'!A34" ref="F161"/>
    <hyperlink display="ETN.P1-25/EA/SVB-SW" location="'Table 606'!A30" ref="F162"/>
    <hyperlink display="PXC.2900364" location="'Table 606'!A8" ref="F163"/>
    <hyperlink display="PXC.2900375" location="'Table 606'!A7" ref="F164"/>
    <hyperlink display="PILZ.541061" location="null!A30" ref="F165"/>
    <hyperlink display="PILZ.570000" location="null!A29" ref="F166"/>
    <hyperlink display="PULS.QS10.241" location="'Table 606'!A37" ref="F167"/>
    <hyperlink display="+ST1-112KF14" location="null!A50" ref="A173"/>
    <hyperlink display="BuR.X20AI4622" location="null!A50" ref="F173"/>
    <hyperlink display="+ST1-112KF12" location="null!A44" ref="A174"/>
    <hyperlink display="BuR.X20AO4622" location="null!A44" ref="F174"/>
    <hyperlink display="+ST1-112KF13" location="null!A47" ref="A175"/>
    <hyperlink display="BuR.X20AO4622" location="null!A47" ref="F175"/>
    <hyperlink display="BuR.X20AO4622" location="null!A51" ref="F176"/>
    <hyperlink display="+ST1-112KF11" location="null!A41" ref="A177"/>
    <hyperlink display="BuR.X20AT6402" location="null!A41" ref="F177"/>
    <hyperlink display="BuR.X20BB80" location="null!A33" ref="F178"/>
    <hyperlink display="+ST1-112KF01" location="null!A33" ref="A179"/>
    <hyperlink display="BuR.X20BC0083" location="null!A33" ref="F179"/>
    <hyperlink display="+ST1-112KF03" location="null!A38" ref="A180"/>
    <hyperlink display="BuR.X20BM11" location="null!A38" ref="F180"/>
    <hyperlink display="+ST1-112KF11" location="null!A41" ref="A181"/>
    <hyperlink display="BuR.X20BM11" location="null!A41" ref="F181"/>
    <hyperlink display="+ST1-112KF12" location="null!A44" ref="A182"/>
    <hyperlink display="BuR.X20BM11" location="null!A44" ref="F182"/>
    <hyperlink display="+ST1-112KF13" location="null!A47" ref="A183"/>
    <hyperlink display="BuR.X20BM11" location="null!A47" ref="F183"/>
    <hyperlink display="+ST1-112KF14" location="null!A50" ref="A184"/>
    <hyperlink display="BuR.X20BM11" location="null!A50" ref="F184"/>
    <hyperlink display="+ST1-112KF15" location="null!A1" ref="A185"/>
    <hyperlink display="BuR.X20BM11" location="null!A1" ref="F185"/>
    <hyperlink display="+ST1-113KF16" location="'Table 602'!A1" ref="A186"/>
    <hyperlink display="BuR.X20BM11" location="'Table 602'!A1" ref="F186"/>
    <hyperlink display="+ST1-113KF17" location="'Table 602'!A3" ref="A187"/>
    <hyperlink display="BuR.X20BM11" location="'Table 602'!A3" ref="F187"/>
    <hyperlink display="+ST1-113KF18" location="'Table 602'!A6" ref="A188"/>
    <hyperlink display="BuR.X20BM11" location="'Table 602'!A6" ref="F188"/>
    <hyperlink display="+ST1-113KF19" location="'Table 602'!A9" ref="A189"/>
    <hyperlink display="BuR.X20BM11" location="'Table 602'!A9" ref="F189"/>
    <hyperlink display="+ST1-113KF20" location="'Table 602'!A12" ref="A190"/>
    <hyperlink display="BuR.X20BM11" location="'Table 602'!A12" ref="F190"/>
    <hyperlink display="+ST1-113KF21" location="'Table 602'!A15" ref="A191"/>
    <hyperlink display="BuR.X20BM11" location="'Table 602'!A15" ref="F191"/>
    <hyperlink display="+ST1-113KF22" location="'Table 602'!A18" ref="A192"/>
    <hyperlink display="BuR.X20BM11" location="'Table 602'!A18" ref="F192"/>
    <hyperlink display="+ST1-113KF23" location="'Table 602'!A21" ref="A193"/>
    <hyperlink display="BuR.X20BM11" location="'Table 602'!A21" ref="F193"/>
    <hyperlink display="+ST1-114KF24" location="'Table 602'!A24" ref="A194"/>
    <hyperlink display="BuR.X20BM11" location="'Table 602'!A24" ref="F194"/>
    <hyperlink display="+ST1-114KF25" location="'Table 602'!A27" ref="A195"/>
    <hyperlink display="BuR.X20BM11" location="'Table 602'!A27" ref="F195"/>
    <hyperlink display="+ST1-114KF26" location="'Table 602'!A30" ref="A196"/>
    <hyperlink display="BuR.X20BM11" location="'Table 602'!A30" ref="F196"/>
    <hyperlink display="+ST1-114KF27" location="'Table 602'!A33" ref="A197"/>
    <hyperlink display="BuR.X20BM11" location="'Table 602'!A33" ref="F197"/>
    <hyperlink display="+ST1-114KF28" location="'Table 602'!A36" ref="A198"/>
    <hyperlink display="BuR.X20BM11" location="'Table 602'!A36" ref="F198"/>
    <hyperlink display="+ST1-114KF29" location="'Table 602'!A39" ref="A199"/>
    <hyperlink display="BuR.X20BM11" location="'Table 602'!A39" ref="F199"/>
    <hyperlink display="+ST1-114KF30" location="'Table 602'!A42" ref="A200"/>
    <hyperlink display="BuR.X20BM11" location="'Table 602'!A42" ref="F200"/>
    <hyperlink display="+ST1-114KF31" location="'Table 602'!A45" ref="A201"/>
    <hyperlink display="BuR.X20BM11" location="'Table 602'!A45" ref="F201"/>
    <hyperlink display="+ST1-116KF61" location="'Table 606'!A4" ref="A202"/>
    <hyperlink display="BuR.X20BM11" location="'Table 606'!A4" ref="F202"/>
    <hyperlink display="+ST1-115KF51" location="'Table 602'!A48" ref="A203"/>
    <hyperlink display="BuR.X20BM13" location="'Table 602'!A48" ref="F203"/>
    <hyperlink display="+ST1-115KF52" location="'Table 602'!A51" ref="A204"/>
    <hyperlink display="BuR.X20BM36" location="'Table 602'!A51" ref="F204"/>
    <hyperlink display="+ST1-115KF53a" location="'Table 606'!A1" ref="A205"/>
    <hyperlink display="BuR.X20BM36" location="'Table 606'!A1" ref="F205"/>
    <hyperlink display="+ST1-115KF53b" location="'Table 606'!A2" ref="A206"/>
    <hyperlink display="BuR.X20BM36" location="'Table 606'!A2" ref="F206"/>
    <hyperlink display="+ST1-112KF03" location="null!A38" ref="A207"/>
    <hyperlink display="BuR.X20BT9100" location="null!A38" ref="F207"/>
    <hyperlink display="+ST1-116KF61" location="'Table 606'!A4" ref="A208"/>
    <hyperlink display="BuR.X20DC1976" location="'Table 606'!A4" ref="F208"/>
    <hyperlink display="+ST1-113KF16" location="'Table 602'!A1" ref="A209"/>
    <hyperlink display="BuR.X20DI6371" location="'Table 602'!A1" ref="F209"/>
    <hyperlink display="+ST1-113KF17" location="'Table 602'!A3" ref="A210"/>
    <hyperlink display="BuR.X20DI6371" location="'Table 602'!A3" ref="F210"/>
    <hyperlink display="+ST1-113KF18" location="'Table 602'!A6" ref="A211"/>
    <hyperlink display="BuR.X20DI6371" location="'Table 602'!A6" ref="F211"/>
    <hyperlink display="+ST1-113KF19" location="'Table 602'!A9" ref="A212"/>
    <hyperlink display="BuR.X20DI6371" location="'Table 602'!A9" ref="F212"/>
    <hyperlink display="+ST1-113KF20" location="'Table 602'!A12" ref="A213"/>
    <hyperlink display="BuR.X20DI6371" location="'Table 602'!A12" ref="F213"/>
    <hyperlink display="+ST1-113KF21" location="'Table 602'!A15" ref="A214"/>
    <hyperlink display="BuR.X20DI6371" location="'Table 602'!A15" ref="F214"/>
    <hyperlink display="+ST1-113KF22" location="'Table 602'!A18" ref="A215"/>
    <hyperlink display="BuR.X20DI6371" location="'Table 602'!A18" ref="F215"/>
    <hyperlink display="+ST1-113KF23" location="'Table 602'!A21" ref="A216"/>
    <hyperlink display="BuR.X20DI6371" location="'Table 602'!A21" ref="F216"/>
    <hyperlink display="+ST1-114KF24" location="'Table 602'!A24" ref="A217"/>
    <hyperlink display="BuR.X20DO6322" location="'Table 602'!A24" ref="F217"/>
    <hyperlink display="+ST1-114KF25" location="'Table 602'!A27" ref="A218"/>
    <hyperlink display="BuR.X20DO6322" location="'Table 602'!A27" ref="F218"/>
    <hyperlink display="+ST1-114KF26" location="'Table 602'!A30" ref="A219"/>
    <hyperlink display="BuR.X20DO6322" location="'Table 602'!A30" ref="F219"/>
    <hyperlink display="+ST1-114KF27" location="'Table 602'!A33" ref="A220"/>
    <hyperlink display="BuR.X20DO6322" location="'Table 602'!A33" ref="F220"/>
    <hyperlink display="+ST1-114KF28" location="'Table 602'!A36" ref="A221"/>
    <hyperlink display="BuR.X20DO6322" location="'Table 602'!A36" ref="F221"/>
    <hyperlink display="+ST1-114KF29" location="'Table 602'!A39" ref="A222"/>
    <hyperlink display="BuR.X20DO6322" location="'Table 602'!A39" ref="F222"/>
    <hyperlink display="+ST1-114KF30" location="'Table 602'!A42" ref="A223"/>
    <hyperlink display="BuR.X20DO6322" location="'Table 602'!A42" ref="F223"/>
    <hyperlink display="+ST1-114KF31" location="'Table 602'!A45" ref="A224"/>
    <hyperlink display="BuR.X20DO6322" location="'Table 602'!A45" ref="F224"/>
    <hyperlink display="BuR.X20MK0211" location="null!A3" ref="F225"/>
    <hyperlink display="+ST1-112KF02" location="null!A35" ref="A226"/>
    <hyperlink display="BuR.X20PS9400" location="null!A35" ref="F226"/>
    <hyperlink display="+ST1-115KF53a" location="'Table 606'!A1" ref="A227"/>
    <hyperlink display="BuR.X20SC0842" location="'Table 606'!A1" ref="F227"/>
    <hyperlink display="+ST1-115KF53b" location="'Table 606'!A2" ref="A228"/>
    <hyperlink display="BuR.X20SC0842" location="'Table 606'!A2" ref="F228"/>
    <hyperlink display="+ST1-115KF51" location="'Table 602'!A48" ref="A229"/>
    <hyperlink display="BuR.X20SI8110" location="'Table 602'!A48" ref="F229"/>
    <hyperlink display="+ST1-111AF02" location="null!A3" ref="A230"/>
    <hyperlink display="BuR.X20SL8101" location="null!A3" ref="F230"/>
    <hyperlink display="+ST1-115KF52" location="'Table 602'!A51" ref="A231"/>
    <hyperlink display="BuR.X20SO6300" location="'Table 602'!A51" ref="F231"/>
    <hyperlink display="BuR.X20TB12" location="null!A35" ref="F232"/>
    <hyperlink display="BuR.X20TB12" location="null!A38" ref="F233"/>
    <hyperlink display="BuR.X20TB12" location="null!A41" ref="F234"/>
    <hyperlink display="BuR.X20TB12" location="null!A44" ref="F235"/>
    <hyperlink display="BuR.X20TB12" location="null!A47" ref="F236"/>
    <hyperlink display="BuR.X20TB12" location="null!A50" ref="F237"/>
    <hyperlink display="+ST1-112KF15" location="null!A51" ref="A238"/>
    <hyperlink display="BuR.X20TB12" location="null!A1" ref="F238"/>
    <hyperlink display="BuR.X20TB12" location="'Table 602'!A1" ref="F239"/>
    <hyperlink display="BuR.X20TB12" location="'Table 602'!A3" ref="F240"/>
    <hyperlink display="BuR.X20TB12" location="'Table 602'!A6" ref="F241"/>
    <hyperlink display="BuR.X20TB12" location="'Table 602'!A9" ref="F242"/>
    <hyperlink display="BuR.X20TB12" location="'Table 602'!A12" ref="F243"/>
    <hyperlink display="BuR.X20TB12" location="'Table 602'!A15" ref="F244"/>
    <hyperlink display="BuR.X20TB12" location="'Table 602'!A18" ref="F245"/>
    <hyperlink display="BuR.X20TB12" location="'Table 602'!A21" ref="F246"/>
    <hyperlink display="BuR.X20TB12" location="'Table 602'!A24" ref="F247"/>
    <hyperlink display="BuR.X20TB12" location="'Table 602'!A27" ref="F248"/>
    <hyperlink display="BuR.X20TB12" location="'Table 602'!A30" ref="F249"/>
    <hyperlink display="BuR.X20TB12" location="'Table 602'!A33" ref="F250"/>
    <hyperlink display="BuR.X20TB12" location="'Table 602'!A36" ref="F251"/>
    <hyperlink display="BuR.X20TB12" location="'Table 602'!A39" ref="F252"/>
    <hyperlink display="BuR.X20TB12" location="'Table 602'!A42" ref="F253"/>
    <hyperlink display="BuR.X20TB12" location="'Table 602'!A45" ref="F254"/>
    <hyperlink display="BuR.X20TB12" location="'Table 606'!A4" ref="F255"/>
    <hyperlink display="+ST1-111AF02" location="null!A3" ref="A256"/>
    <hyperlink display="BuR.X20TB52" location="null!A3" ref="F256"/>
    <hyperlink display="BuR.X20TB52" location="'Table 602'!A48" ref="F257"/>
    <hyperlink display="BuR.X20TB52" location="'Table 602'!A51" ref="F258"/>
    <hyperlink display="BuR.X20TB52" location="'Table 606'!A1" ref="F259"/>
    <hyperlink display="BuR.X20TB52" location="'Table 606'!A2" ref="F260"/>
    <hyperlink display="+ST1-131FN01" location="null!A26" ref="A264"/>
    <hyperlink display="K+C Glasmaßstab Typ-S5" location="'Table 614'!A36" ref="F283"/>
  </hyperlinks>
  <printOptions/>
  <pageMargins bottom="0.7875" footer="0.0" header="0.0" left="0.7875" right="0.7875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8" width="9.86"/>
  </cols>
  <sheetData>
    <row r="1" ht="18.0" customHeight="1">
      <c r="A1" s="8" t="s">
        <v>424</v>
      </c>
      <c r="B1" s="9" t="s">
        <v>425</v>
      </c>
      <c r="C1" s="8" t="s">
        <v>426</v>
      </c>
      <c r="D1" s="8" t="s">
        <v>427</v>
      </c>
      <c r="E1" s="8" t="s">
        <v>428</v>
      </c>
      <c r="F1" s="8" t="s">
        <v>429</v>
      </c>
      <c r="G1" s="10" t="s">
        <v>430</v>
      </c>
      <c r="H1" s="10" t="s">
        <v>431</v>
      </c>
      <c r="I1" s="10" t="s">
        <v>432</v>
      </c>
      <c r="J1" s="10" t="s">
        <v>433</v>
      </c>
      <c r="K1" s="10" t="s">
        <v>434</v>
      </c>
      <c r="L1" s="10" t="s">
        <v>435</v>
      </c>
      <c r="M1" s="10" t="s">
        <v>436</v>
      </c>
      <c r="N1" s="10" t="s">
        <v>437</v>
      </c>
      <c r="O1" s="11" t="s">
        <v>438</v>
      </c>
      <c r="P1" s="10" t="s">
        <v>439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1.25" customHeight="1">
      <c r="A2" s="13" t="s">
        <v>6</v>
      </c>
      <c r="B2" s="14">
        <v>1.0</v>
      </c>
      <c r="C2" s="13" t="s">
        <v>7</v>
      </c>
      <c r="D2" s="13" t="s">
        <v>8</v>
      </c>
      <c r="E2" s="15"/>
      <c r="F2" s="16" t="s">
        <v>9</v>
      </c>
      <c r="G2" s="12"/>
      <c r="H2" s="17"/>
      <c r="I2" s="17"/>
      <c r="J2" s="12"/>
      <c r="K2" s="12"/>
      <c r="L2" s="12"/>
      <c r="M2" s="12"/>
      <c r="N2" s="12"/>
      <c r="O2" s="18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15.0" customHeight="1">
      <c r="A3" s="13" t="s">
        <v>10</v>
      </c>
      <c r="B3" s="14">
        <v>4.0</v>
      </c>
      <c r="C3" s="13" t="s">
        <v>11</v>
      </c>
      <c r="D3" s="13" t="s">
        <v>12</v>
      </c>
      <c r="E3" s="13" t="s">
        <v>13</v>
      </c>
      <c r="F3" s="13" t="s">
        <v>14</v>
      </c>
      <c r="G3" s="10" t="s">
        <v>440</v>
      </c>
      <c r="H3" s="19">
        <v>2.86</v>
      </c>
      <c r="I3" s="19">
        <v>1.25239</v>
      </c>
      <c r="J3" s="10" t="s">
        <v>441</v>
      </c>
      <c r="K3" s="10" t="s">
        <v>441</v>
      </c>
      <c r="L3" s="20" t="s">
        <v>442</v>
      </c>
      <c r="M3" s="17">
        <f t="shared" ref="M3:M31" si="1">I3*B3</f>
        <v>5.00956</v>
      </c>
      <c r="N3" s="17">
        <f t="shared" ref="N3:N305" si="2">I3*B3</f>
        <v>5.00956</v>
      </c>
      <c r="O3" s="1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11.25" customHeight="1">
      <c r="A4" s="13" t="s">
        <v>15</v>
      </c>
      <c r="B4" s="14">
        <v>14.0</v>
      </c>
      <c r="C4" s="13" t="s">
        <v>11</v>
      </c>
      <c r="D4" s="13" t="s">
        <v>12</v>
      </c>
      <c r="E4" s="13" t="s">
        <v>13</v>
      </c>
      <c r="F4" s="13" t="s">
        <v>14</v>
      </c>
      <c r="G4" s="10" t="s">
        <v>440</v>
      </c>
      <c r="H4" s="19">
        <v>1.811</v>
      </c>
      <c r="I4" s="19">
        <v>1.20481</v>
      </c>
      <c r="J4" s="10" t="s">
        <v>441</v>
      </c>
      <c r="K4" s="10" t="s">
        <v>441</v>
      </c>
      <c r="L4" s="20" t="s">
        <v>442</v>
      </c>
      <c r="M4" s="17">
        <f t="shared" si="1"/>
        <v>16.86734</v>
      </c>
      <c r="N4" s="17">
        <f t="shared" si="2"/>
        <v>16.86734</v>
      </c>
      <c r="O4" s="18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11.25" customHeight="1">
      <c r="A5" s="13" t="s">
        <v>16</v>
      </c>
      <c r="B5" s="14">
        <v>2.0</v>
      </c>
      <c r="C5" s="13" t="s">
        <v>11</v>
      </c>
      <c r="D5" s="13" t="s">
        <v>12</v>
      </c>
      <c r="E5" s="13" t="s">
        <v>13</v>
      </c>
      <c r="F5" s="13" t="s">
        <v>14</v>
      </c>
      <c r="G5" s="10" t="s">
        <v>440</v>
      </c>
      <c r="H5" s="19">
        <v>2.86</v>
      </c>
      <c r="I5" s="19">
        <v>1.25239</v>
      </c>
      <c r="J5" s="10" t="s">
        <v>441</v>
      </c>
      <c r="K5" s="10" t="s">
        <v>441</v>
      </c>
      <c r="L5" s="20" t="s">
        <v>442</v>
      </c>
      <c r="M5" s="17">
        <f t="shared" si="1"/>
        <v>2.50478</v>
      </c>
      <c r="N5" s="17">
        <f t="shared" si="2"/>
        <v>2.50478</v>
      </c>
      <c r="O5" s="18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11.25" customHeight="1">
      <c r="A6" s="13" t="s">
        <v>17</v>
      </c>
      <c r="B6" s="14">
        <v>8.0</v>
      </c>
      <c r="C6" s="13" t="s">
        <v>11</v>
      </c>
      <c r="D6" s="13" t="s">
        <v>12</v>
      </c>
      <c r="E6" s="13" t="s">
        <v>13</v>
      </c>
      <c r="F6" s="13" t="s">
        <v>14</v>
      </c>
      <c r="G6" s="10" t="s">
        <v>440</v>
      </c>
      <c r="H6" s="19">
        <v>2.86</v>
      </c>
      <c r="I6" s="19">
        <v>1.20481</v>
      </c>
      <c r="J6" s="10" t="s">
        <v>441</v>
      </c>
      <c r="K6" s="10" t="s">
        <v>441</v>
      </c>
      <c r="L6" s="20" t="s">
        <v>442</v>
      </c>
      <c r="M6" s="17">
        <f t="shared" si="1"/>
        <v>9.63848</v>
      </c>
      <c r="N6" s="17">
        <f t="shared" si="2"/>
        <v>9.63848</v>
      </c>
      <c r="O6" s="18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15.0" customHeight="1">
      <c r="A7" s="16" t="s">
        <v>10</v>
      </c>
      <c r="B7" s="14">
        <v>1.0</v>
      </c>
      <c r="C7" s="13" t="s">
        <v>11</v>
      </c>
      <c r="D7" s="13" t="s">
        <v>18</v>
      </c>
      <c r="E7" s="13" t="s">
        <v>13</v>
      </c>
      <c r="F7" s="16" t="s">
        <v>19</v>
      </c>
      <c r="G7" s="10" t="s">
        <v>440</v>
      </c>
      <c r="H7" s="19">
        <v>2.28</v>
      </c>
      <c r="I7" s="19">
        <v>1.185</v>
      </c>
      <c r="J7" s="10" t="s">
        <v>441</v>
      </c>
      <c r="K7" s="10" t="s">
        <v>441</v>
      </c>
      <c r="L7" s="20" t="s">
        <v>443</v>
      </c>
      <c r="M7" s="17">
        <f t="shared" si="1"/>
        <v>1.185</v>
      </c>
      <c r="N7" s="17">
        <f t="shared" si="2"/>
        <v>1.185</v>
      </c>
      <c r="O7" s="18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15.0" customHeight="1">
      <c r="A8" s="16" t="s">
        <v>10</v>
      </c>
      <c r="B8" s="14">
        <v>1.0</v>
      </c>
      <c r="C8" s="13" t="s">
        <v>20</v>
      </c>
      <c r="D8" s="13" t="s">
        <v>21</v>
      </c>
      <c r="E8" s="13" t="s">
        <v>13</v>
      </c>
      <c r="F8" s="16" t="s">
        <v>22</v>
      </c>
      <c r="G8" s="10" t="s">
        <v>440</v>
      </c>
      <c r="H8" s="19">
        <v>6.64</v>
      </c>
      <c r="I8" s="19">
        <v>3.94047</v>
      </c>
      <c r="J8" s="10" t="s">
        <v>441</v>
      </c>
      <c r="K8" s="10" t="s">
        <v>441</v>
      </c>
      <c r="L8" s="20" t="s">
        <v>444</v>
      </c>
      <c r="M8" s="17">
        <f t="shared" si="1"/>
        <v>3.94047</v>
      </c>
      <c r="N8" s="17">
        <f t="shared" si="2"/>
        <v>3.94047</v>
      </c>
      <c r="O8" s="18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15.0" customHeight="1">
      <c r="A9" s="13" t="s">
        <v>15</v>
      </c>
      <c r="B9" s="14">
        <v>4.0</v>
      </c>
      <c r="C9" s="13" t="s">
        <v>20</v>
      </c>
      <c r="D9" s="13" t="s">
        <v>21</v>
      </c>
      <c r="E9" s="13" t="s">
        <v>13</v>
      </c>
      <c r="F9" s="13" t="s">
        <v>22</v>
      </c>
      <c r="G9" s="10" t="s">
        <v>440</v>
      </c>
      <c r="H9" s="19">
        <v>6.64</v>
      </c>
      <c r="I9" s="19">
        <v>3.94047</v>
      </c>
      <c r="J9" s="10" t="s">
        <v>441</v>
      </c>
      <c r="K9" s="10" t="s">
        <v>441</v>
      </c>
      <c r="L9" s="20" t="s">
        <v>444</v>
      </c>
      <c r="M9" s="17">
        <f t="shared" si="1"/>
        <v>15.76188</v>
      </c>
      <c r="N9" s="17">
        <f t="shared" si="2"/>
        <v>15.76188</v>
      </c>
      <c r="O9" s="18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15.0" customHeight="1">
      <c r="A10" s="13" t="s">
        <v>16</v>
      </c>
      <c r="B10" s="14">
        <v>2.0</v>
      </c>
      <c r="C10" s="13" t="s">
        <v>20</v>
      </c>
      <c r="D10" s="13" t="s">
        <v>21</v>
      </c>
      <c r="E10" s="13" t="s">
        <v>13</v>
      </c>
      <c r="F10" s="13" t="s">
        <v>22</v>
      </c>
      <c r="G10" s="10" t="s">
        <v>440</v>
      </c>
      <c r="H10" s="19">
        <v>6.64</v>
      </c>
      <c r="I10" s="19">
        <v>3.94047</v>
      </c>
      <c r="J10" s="10" t="s">
        <v>441</v>
      </c>
      <c r="K10" s="10" t="s">
        <v>441</v>
      </c>
      <c r="L10" s="20" t="s">
        <v>444</v>
      </c>
      <c r="M10" s="17">
        <f t="shared" si="1"/>
        <v>7.88094</v>
      </c>
      <c r="N10" s="17">
        <f t="shared" si="2"/>
        <v>7.88094</v>
      </c>
      <c r="O10" s="18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11.25" customHeight="1">
      <c r="A11" s="13" t="s">
        <v>10</v>
      </c>
      <c r="B11" s="14">
        <v>1.0</v>
      </c>
      <c r="C11" s="13" t="s">
        <v>23</v>
      </c>
      <c r="D11" s="13" t="s">
        <v>24</v>
      </c>
      <c r="E11" s="13" t="s">
        <v>13</v>
      </c>
      <c r="F11" s="13" t="s">
        <v>25</v>
      </c>
      <c r="G11" s="10" t="s">
        <v>440</v>
      </c>
      <c r="H11" s="19">
        <v>1.93</v>
      </c>
      <c r="I11" s="19">
        <v>0.88425</v>
      </c>
      <c r="J11" s="10" t="s">
        <v>441</v>
      </c>
      <c r="K11" s="10" t="s">
        <v>441</v>
      </c>
      <c r="L11" s="20" t="s">
        <v>445</v>
      </c>
      <c r="M11" s="17">
        <f t="shared" si="1"/>
        <v>0.88425</v>
      </c>
      <c r="N11" s="17">
        <f t="shared" si="2"/>
        <v>0.88425</v>
      </c>
      <c r="O11" s="18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11.25" customHeight="1">
      <c r="A12" s="13" t="s">
        <v>15</v>
      </c>
      <c r="B12" s="14">
        <v>1.0</v>
      </c>
      <c r="C12" s="13" t="s">
        <v>23</v>
      </c>
      <c r="D12" s="13" t="s">
        <v>24</v>
      </c>
      <c r="E12" s="13" t="s">
        <v>13</v>
      </c>
      <c r="F12" s="13" t="s">
        <v>25</v>
      </c>
      <c r="G12" s="10" t="s">
        <v>440</v>
      </c>
      <c r="H12" s="19">
        <v>1.93</v>
      </c>
      <c r="I12" s="19">
        <v>0.88425</v>
      </c>
      <c r="J12" s="10" t="s">
        <v>441</v>
      </c>
      <c r="K12" s="10" t="s">
        <v>441</v>
      </c>
      <c r="L12" s="20" t="s">
        <v>445</v>
      </c>
      <c r="M12" s="17">
        <f t="shared" si="1"/>
        <v>0.88425</v>
      </c>
      <c r="N12" s="17">
        <f t="shared" si="2"/>
        <v>0.88425</v>
      </c>
      <c r="O12" s="18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11.25" customHeight="1">
      <c r="A13" s="13" t="s">
        <v>16</v>
      </c>
      <c r="B13" s="14">
        <v>1.0</v>
      </c>
      <c r="C13" s="13" t="s">
        <v>23</v>
      </c>
      <c r="D13" s="13" t="s">
        <v>24</v>
      </c>
      <c r="E13" s="13" t="s">
        <v>13</v>
      </c>
      <c r="F13" s="13" t="s">
        <v>25</v>
      </c>
      <c r="G13" s="10" t="s">
        <v>440</v>
      </c>
      <c r="H13" s="19">
        <v>1.93</v>
      </c>
      <c r="I13" s="19">
        <v>0.88425</v>
      </c>
      <c r="J13" s="10" t="s">
        <v>441</v>
      </c>
      <c r="K13" s="10" t="s">
        <v>441</v>
      </c>
      <c r="L13" s="20" t="s">
        <v>445</v>
      </c>
      <c r="M13" s="17">
        <f t="shared" si="1"/>
        <v>0.88425</v>
      </c>
      <c r="N13" s="17">
        <f t="shared" si="2"/>
        <v>0.88425</v>
      </c>
      <c r="O13" s="18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15.0" customHeight="1">
      <c r="A14" s="13" t="s">
        <v>26</v>
      </c>
      <c r="B14" s="14">
        <v>1.0</v>
      </c>
      <c r="C14" s="13" t="s">
        <v>23</v>
      </c>
      <c r="D14" s="13" t="s">
        <v>24</v>
      </c>
      <c r="E14" s="13" t="s">
        <v>13</v>
      </c>
      <c r="F14" s="13" t="s">
        <v>25</v>
      </c>
      <c r="G14" s="10" t="s">
        <v>440</v>
      </c>
      <c r="H14" s="19">
        <v>1.93</v>
      </c>
      <c r="I14" s="19">
        <v>0.88425</v>
      </c>
      <c r="J14" s="10" t="s">
        <v>441</v>
      </c>
      <c r="K14" s="10" t="s">
        <v>441</v>
      </c>
      <c r="L14" s="20" t="s">
        <v>445</v>
      </c>
      <c r="M14" s="17">
        <f t="shared" si="1"/>
        <v>0.88425</v>
      </c>
      <c r="N14" s="17">
        <f t="shared" si="2"/>
        <v>0.88425</v>
      </c>
      <c r="O14" s="18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15.0" customHeight="1">
      <c r="A15" s="13" t="s">
        <v>27</v>
      </c>
      <c r="B15" s="14">
        <v>9.0</v>
      </c>
      <c r="C15" s="13" t="s">
        <v>28</v>
      </c>
      <c r="D15" s="13" t="s">
        <v>29</v>
      </c>
      <c r="E15" s="13" t="s">
        <v>13</v>
      </c>
      <c r="F15" s="13" t="s">
        <v>30</v>
      </c>
      <c r="G15" s="10" t="s">
        <v>440</v>
      </c>
      <c r="H15" s="19">
        <v>3.88</v>
      </c>
      <c r="I15" s="19">
        <v>1.86923</v>
      </c>
      <c r="J15" s="10" t="s">
        <v>441</v>
      </c>
      <c r="K15" s="10" t="s">
        <v>441</v>
      </c>
      <c r="L15" s="20" t="s">
        <v>446</v>
      </c>
      <c r="M15" s="17">
        <f t="shared" si="1"/>
        <v>16.82307</v>
      </c>
      <c r="N15" s="17">
        <f t="shared" si="2"/>
        <v>16.82307</v>
      </c>
      <c r="O15" s="18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15.0" customHeight="1">
      <c r="A16" s="13" t="s">
        <v>31</v>
      </c>
      <c r="B16" s="14">
        <v>9.0</v>
      </c>
      <c r="C16" s="13" t="s">
        <v>28</v>
      </c>
      <c r="D16" s="13" t="s">
        <v>29</v>
      </c>
      <c r="E16" s="13" t="s">
        <v>13</v>
      </c>
      <c r="F16" s="13" t="s">
        <v>30</v>
      </c>
      <c r="G16" s="10" t="s">
        <v>440</v>
      </c>
      <c r="H16" s="19">
        <v>3.88</v>
      </c>
      <c r="I16" s="19">
        <v>1.86923</v>
      </c>
      <c r="J16" s="10" t="s">
        <v>441</v>
      </c>
      <c r="K16" s="10" t="s">
        <v>441</v>
      </c>
      <c r="L16" s="20" t="s">
        <v>446</v>
      </c>
      <c r="M16" s="17">
        <f t="shared" si="1"/>
        <v>16.82307</v>
      </c>
      <c r="N16" s="17">
        <f t="shared" si="2"/>
        <v>16.82307</v>
      </c>
      <c r="O16" s="18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11.25" customHeight="1">
      <c r="A17" s="13" t="s">
        <v>32</v>
      </c>
      <c r="B17" s="14">
        <v>2.0</v>
      </c>
      <c r="C17" s="13" t="s">
        <v>28</v>
      </c>
      <c r="D17" s="13" t="s">
        <v>33</v>
      </c>
      <c r="E17" s="13" t="s">
        <v>13</v>
      </c>
      <c r="F17" s="13" t="s">
        <v>34</v>
      </c>
      <c r="G17" s="10" t="s">
        <v>440</v>
      </c>
      <c r="H17" s="19">
        <v>3.9</v>
      </c>
      <c r="I17" s="19">
        <v>1.94215</v>
      </c>
      <c r="J17" s="10" t="s">
        <v>441</v>
      </c>
      <c r="K17" s="10" t="s">
        <v>441</v>
      </c>
      <c r="L17" s="20" t="s">
        <v>447</v>
      </c>
      <c r="M17" s="17">
        <f t="shared" si="1"/>
        <v>3.8843</v>
      </c>
      <c r="N17" s="17">
        <f t="shared" si="2"/>
        <v>3.8843</v>
      </c>
      <c r="O17" s="18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15.0" customHeight="1">
      <c r="A18" s="13" t="s">
        <v>26</v>
      </c>
      <c r="B18" s="14">
        <v>4.0</v>
      </c>
      <c r="C18" s="13" t="s">
        <v>35</v>
      </c>
      <c r="D18" s="13" t="s">
        <v>36</v>
      </c>
      <c r="E18" s="13" t="s">
        <v>13</v>
      </c>
      <c r="F18" s="13" t="s">
        <v>37</v>
      </c>
      <c r="G18" s="10" t="s">
        <v>440</v>
      </c>
      <c r="H18" s="19">
        <v>8.46</v>
      </c>
      <c r="I18" s="19">
        <v>5.35892</v>
      </c>
      <c r="J18" s="10" t="s">
        <v>441</v>
      </c>
      <c r="K18" s="10" t="s">
        <v>441</v>
      </c>
      <c r="L18" s="20" t="s">
        <v>447</v>
      </c>
      <c r="M18" s="17">
        <f t="shared" si="1"/>
        <v>21.43568</v>
      </c>
      <c r="N18" s="17">
        <f t="shared" si="2"/>
        <v>21.43568</v>
      </c>
      <c r="O18" s="18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11.25" customHeight="1">
      <c r="A19" s="13" t="s">
        <v>10</v>
      </c>
      <c r="B19" s="14">
        <v>1.0</v>
      </c>
      <c r="C19" s="13" t="s">
        <v>23</v>
      </c>
      <c r="D19" s="13" t="s">
        <v>38</v>
      </c>
      <c r="E19" s="13" t="s">
        <v>13</v>
      </c>
      <c r="F19" s="13" t="s">
        <v>39</v>
      </c>
      <c r="G19" s="10" t="s">
        <v>440</v>
      </c>
      <c r="H19" s="19">
        <v>1.8</v>
      </c>
      <c r="I19" s="19">
        <v>0.97614</v>
      </c>
      <c r="J19" s="10" t="s">
        <v>441</v>
      </c>
      <c r="K19" s="10" t="s">
        <v>441</v>
      </c>
      <c r="L19" s="20" t="s">
        <v>448</v>
      </c>
      <c r="M19" s="17">
        <f t="shared" si="1"/>
        <v>0.97614</v>
      </c>
      <c r="N19" s="17">
        <f t="shared" si="2"/>
        <v>0.97614</v>
      </c>
      <c r="O19" s="18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15.0" customHeight="1">
      <c r="A20" s="13" t="s">
        <v>27</v>
      </c>
      <c r="B20" s="14">
        <v>1.0</v>
      </c>
      <c r="C20" s="13" t="s">
        <v>23</v>
      </c>
      <c r="D20" s="13" t="s">
        <v>38</v>
      </c>
      <c r="E20" s="13" t="s">
        <v>13</v>
      </c>
      <c r="F20" s="13" t="s">
        <v>39</v>
      </c>
      <c r="G20" s="10" t="s">
        <v>440</v>
      </c>
      <c r="H20" s="19">
        <v>1.8</v>
      </c>
      <c r="I20" s="19">
        <v>0.97614</v>
      </c>
      <c r="J20" s="10" t="s">
        <v>441</v>
      </c>
      <c r="K20" s="10" t="s">
        <v>441</v>
      </c>
      <c r="L20" s="20" t="s">
        <v>448</v>
      </c>
      <c r="M20" s="17">
        <f t="shared" si="1"/>
        <v>0.97614</v>
      </c>
      <c r="N20" s="17">
        <f t="shared" si="2"/>
        <v>0.97614</v>
      </c>
      <c r="O20" s="18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11.25" customHeight="1">
      <c r="A21" s="13" t="s">
        <v>31</v>
      </c>
      <c r="B21" s="14">
        <v>1.0</v>
      </c>
      <c r="C21" s="13" t="s">
        <v>23</v>
      </c>
      <c r="D21" s="13" t="s">
        <v>38</v>
      </c>
      <c r="E21" s="13" t="s">
        <v>13</v>
      </c>
      <c r="F21" s="13" t="s">
        <v>39</v>
      </c>
      <c r="G21" s="10" t="s">
        <v>440</v>
      </c>
      <c r="H21" s="19">
        <v>1.8</v>
      </c>
      <c r="I21" s="19">
        <v>0.97614</v>
      </c>
      <c r="J21" s="10" t="s">
        <v>441</v>
      </c>
      <c r="K21" s="10" t="s">
        <v>441</v>
      </c>
      <c r="L21" s="20" t="s">
        <v>448</v>
      </c>
      <c r="M21" s="17">
        <f t="shared" si="1"/>
        <v>0.97614</v>
      </c>
      <c r="N21" s="17">
        <f t="shared" si="2"/>
        <v>0.97614</v>
      </c>
      <c r="O21" s="18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15.0" customHeight="1">
      <c r="A22" s="13" t="s">
        <v>17</v>
      </c>
      <c r="B22" s="14">
        <v>12.0</v>
      </c>
      <c r="C22" s="13" t="s">
        <v>40</v>
      </c>
      <c r="D22" s="13" t="s">
        <v>41</v>
      </c>
      <c r="E22" s="13" t="s">
        <v>13</v>
      </c>
      <c r="F22" s="13" t="s">
        <v>42</v>
      </c>
      <c r="G22" s="10" t="s">
        <v>440</v>
      </c>
      <c r="H22" s="19">
        <v>4.006</v>
      </c>
      <c r="I22" s="19">
        <v>3.1551</v>
      </c>
      <c r="J22" s="10" t="s">
        <v>441</v>
      </c>
      <c r="K22" s="10" t="s">
        <v>441</v>
      </c>
      <c r="L22" s="20" t="s">
        <v>449</v>
      </c>
      <c r="M22" s="17">
        <f t="shared" si="1"/>
        <v>37.8612</v>
      </c>
      <c r="N22" s="17">
        <f t="shared" si="2"/>
        <v>37.8612</v>
      </c>
      <c r="O22" s="18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11.25" customHeight="1">
      <c r="A23" s="13" t="s">
        <v>43</v>
      </c>
      <c r="B23" s="14">
        <v>10.0</v>
      </c>
      <c r="C23" s="13" t="s">
        <v>40</v>
      </c>
      <c r="D23" s="13" t="s">
        <v>41</v>
      </c>
      <c r="E23" s="13" t="s">
        <v>13</v>
      </c>
      <c r="F23" s="13" t="s">
        <v>42</v>
      </c>
      <c r="G23" s="10" t="s">
        <v>440</v>
      </c>
      <c r="H23" s="19">
        <v>4.006</v>
      </c>
      <c r="I23" s="19">
        <v>3.1551</v>
      </c>
      <c r="J23" s="10" t="s">
        <v>441</v>
      </c>
      <c r="K23" s="10" t="s">
        <v>441</v>
      </c>
      <c r="L23" s="20" t="s">
        <v>449</v>
      </c>
      <c r="M23" s="17">
        <f t="shared" si="1"/>
        <v>31.551</v>
      </c>
      <c r="N23" s="17">
        <f t="shared" si="2"/>
        <v>31.551</v>
      </c>
      <c r="O23" s="18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11.25" customHeight="1">
      <c r="A24" s="13" t="s">
        <v>44</v>
      </c>
      <c r="B24" s="14">
        <v>9.0</v>
      </c>
      <c r="C24" s="13" t="s">
        <v>40</v>
      </c>
      <c r="D24" s="13" t="s">
        <v>41</v>
      </c>
      <c r="E24" s="13" t="s">
        <v>13</v>
      </c>
      <c r="F24" s="13" t="s">
        <v>42</v>
      </c>
      <c r="G24" s="10" t="s">
        <v>440</v>
      </c>
      <c r="H24" s="19">
        <v>5.6</v>
      </c>
      <c r="I24" s="19">
        <v>3.1551</v>
      </c>
      <c r="J24" s="10" t="s">
        <v>441</v>
      </c>
      <c r="K24" s="10" t="s">
        <v>441</v>
      </c>
      <c r="L24" s="20" t="s">
        <v>449</v>
      </c>
      <c r="M24" s="17">
        <f t="shared" si="1"/>
        <v>28.3959</v>
      </c>
      <c r="N24" s="17">
        <f t="shared" si="2"/>
        <v>28.3959</v>
      </c>
      <c r="O24" s="18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11.25" customHeight="1">
      <c r="A25" s="13" t="s">
        <v>45</v>
      </c>
      <c r="B25" s="14">
        <v>10.0</v>
      </c>
      <c r="C25" s="13" t="s">
        <v>40</v>
      </c>
      <c r="D25" s="13" t="s">
        <v>41</v>
      </c>
      <c r="E25" s="13" t="s">
        <v>13</v>
      </c>
      <c r="F25" s="13" t="s">
        <v>42</v>
      </c>
      <c r="G25" s="10" t="s">
        <v>440</v>
      </c>
      <c r="H25" s="19">
        <v>4.006</v>
      </c>
      <c r="I25" s="19">
        <v>3.1551</v>
      </c>
      <c r="J25" s="10" t="s">
        <v>441</v>
      </c>
      <c r="K25" s="10" t="s">
        <v>441</v>
      </c>
      <c r="L25" s="20" t="s">
        <v>449</v>
      </c>
      <c r="M25" s="17">
        <f t="shared" si="1"/>
        <v>31.551</v>
      </c>
      <c r="N25" s="17">
        <f t="shared" si="2"/>
        <v>31.551</v>
      </c>
      <c r="O25" s="18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15.0" customHeight="1">
      <c r="A26" s="13" t="s">
        <v>46</v>
      </c>
      <c r="B26" s="14">
        <v>19.0</v>
      </c>
      <c r="C26" s="13" t="s">
        <v>40</v>
      </c>
      <c r="D26" s="13" t="s">
        <v>41</v>
      </c>
      <c r="E26" s="13" t="s">
        <v>13</v>
      </c>
      <c r="F26" s="13" t="s">
        <v>42</v>
      </c>
      <c r="G26" s="10" t="s">
        <v>440</v>
      </c>
      <c r="H26" s="19">
        <v>4.006</v>
      </c>
      <c r="I26" s="19">
        <v>3.1551</v>
      </c>
      <c r="J26" s="10" t="s">
        <v>441</v>
      </c>
      <c r="K26" s="10" t="s">
        <v>441</v>
      </c>
      <c r="L26" s="20" t="s">
        <v>449</v>
      </c>
      <c r="M26" s="17">
        <f t="shared" si="1"/>
        <v>59.9469</v>
      </c>
      <c r="N26" s="17">
        <f t="shared" si="2"/>
        <v>59.9469</v>
      </c>
      <c r="O26" s="18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11.25" customHeight="1">
      <c r="A27" s="13" t="s">
        <v>47</v>
      </c>
      <c r="B27" s="14">
        <v>10.0</v>
      </c>
      <c r="C27" s="13" t="s">
        <v>40</v>
      </c>
      <c r="D27" s="13" t="s">
        <v>41</v>
      </c>
      <c r="E27" s="13" t="s">
        <v>13</v>
      </c>
      <c r="F27" s="13" t="s">
        <v>42</v>
      </c>
      <c r="G27" s="10" t="s">
        <v>440</v>
      </c>
      <c r="H27" s="19">
        <v>4.006</v>
      </c>
      <c r="I27" s="19">
        <v>3.1551</v>
      </c>
      <c r="J27" s="10" t="s">
        <v>441</v>
      </c>
      <c r="K27" s="10" t="s">
        <v>441</v>
      </c>
      <c r="L27" s="20" t="s">
        <v>449</v>
      </c>
      <c r="M27" s="17">
        <f t="shared" si="1"/>
        <v>31.551</v>
      </c>
      <c r="N27" s="17">
        <f t="shared" si="2"/>
        <v>31.551</v>
      </c>
      <c r="O27" s="18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15.0" customHeight="1">
      <c r="A28" s="13" t="s">
        <v>48</v>
      </c>
      <c r="B28" s="14">
        <v>6.0</v>
      </c>
      <c r="C28" s="13" t="s">
        <v>40</v>
      </c>
      <c r="D28" s="13" t="s">
        <v>41</v>
      </c>
      <c r="E28" s="13" t="s">
        <v>13</v>
      </c>
      <c r="F28" s="13" t="s">
        <v>42</v>
      </c>
      <c r="G28" s="10" t="s">
        <v>440</v>
      </c>
      <c r="H28" s="19">
        <v>5.6</v>
      </c>
      <c r="I28" s="19">
        <v>3.1551</v>
      </c>
      <c r="J28" s="10" t="s">
        <v>441</v>
      </c>
      <c r="K28" s="10" t="s">
        <v>441</v>
      </c>
      <c r="L28" s="20" t="s">
        <v>449</v>
      </c>
      <c r="M28" s="17">
        <f t="shared" si="1"/>
        <v>18.9306</v>
      </c>
      <c r="N28" s="17">
        <f t="shared" si="2"/>
        <v>18.9306</v>
      </c>
      <c r="O28" s="18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15.0" customHeight="1">
      <c r="A29" s="13" t="s">
        <v>17</v>
      </c>
      <c r="B29" s="14">
        <v>5.0</v>
      </c>
      <c r="C29" s="13" t="s">
        <v>40</v>
      </c>
      <c r="D29" s="13" t="s">
        <v>49</v>
      </c>
      <c r="E29" s="13" t="s">
        <v>13</v>
      </c>
      <c r="F29" s="13" t="s">
        <v>50</v>
      </c>
      <c r="G29" s="10" t="s">
        <v>440</v>
      </c>
      <c r="H29" s="19">
        <v>11.05</v>
      </c>
      <c r="I29" s="19">
        <v>7.4775</v>
      </c>
      <c r="J29" s="10" t="s">
        <v>441</v>
      </c>
      <c r="K29" s="10" t="s">
        <v>441</v>
      </c>
      <c r="L29" s="20" t="s">
        <v>450</v>
      </c>
      <c r="M29" s="17">
        <f t="shared" si="1"/>
        <v>37.3875</v>
      </c>
      <c r="N29" s="17">
        <f t="shared" si="2"/>
        <v>37.3875</v>
      </c>
      <c r="O29" s="1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15.0" customHeight="1">
      <c r="A30" s="16" t="s">
        <v>44</v>
      </c>
      <c r="B30" s="14">
        <v>1.0</v>
      </c>
      <c r="C30" s="13" t="s">
        <v>40</v>
      </c>
      <c r="D30" s="13" t="s">
        <v>49</v>
      </c>
      <c r="E30" s="13" t="s">
        <v>13</v>
      </c>
      <c r="F30" s="16" t="s">
        <v>50</v>
      </c>
      <c r="G30" s="10" t="s">
        <v>440</v>
      </c>
      <c r="H30" s="19">
        <v>11.05</v>
      </c>
      <c r="I30" s="19">
        <v>7.4775</v>
      </c>
      <c r="J30" s="10" t="s">
        <v>441</v>
      </c>
      <c r="K30" s="10" t="s">
        <v>441</v>
      </c>
      <c r="L30" s="20" t="s">
        <v>450</v>
      </c>
      <c r="M30" s="17">
        <f t="shared" si="1"/>
        <v>7.4775</v>
      </c>
      <c r="N30" s="17">
        <f t="shared" si="2"/>
        <v>7.4775</v>
      </c>
      <c r="O30" s="18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15.0" customHeight="1">
      <c r="A31" s="16" t="s">
        <v>47</v>
      </c>
      <c r="B31" s="14">
        <v>1.0</v>
      </c>
      <c r="C31" s="13" t="s">
        <v>40</v>
      </c>
      <c r="D31" s="13" t="s">
        <v>49</v>
      </c>
      <c r="E31" s="13" t="s">
        <v>13</v>
      </c>
      <c r="F31" s="16" t="s">
        <v>50</v>
      </c>
      <c r="G31" s="10" t="s">
        <v>440</v>
      </c>
      <c r="H31" s="19">
        <v>11.05</v>
      </c>
      <c r="I31" s="19">
        <v>7.4775</v>
      </c>
      <c r="J31" s="10" t="s">
        <v>441</v>
      </c>
      <c r="K31" s="10" t="s">
        <v>441</v>
      </c>
      <c r="L31" s="21" t="s">
        <v>451</v>
      </c>
      <c r="M31" s="17">
        <f t="shared" si="1"/>
        <v>7.4775</v>
      </c>
      <c r="N31" s="17">
        <f t="shared" si="2"/>
        <v>7.4775</v>
      </c>
      <c r="O31" s="18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11.25" customHeight="1">
      <c r="A32" s="13" t="s">
        <v>51</v>
      </c>
      <c r="B32" s="14">
        <v>1.0</v>
      </c>
      <c r="C32" s="13" t="s">
        <v>23</v>
      </c>
      <c r="D32" s="13" t="s">
        <v>52</v>
      </c>
      <c r="E32" s="13" t="s">
        <v>13</v>
      </c>
      <c r="F32" s="13" t="s">
        <v>53</v>
      </c>
      <c r="G32" s="12"/>
      <c r="H32" s="19">
        <v>1.93</v>
      </c>
      <c r="I32" s="19">
        <v>0.8851</v>
      </c>
      <c r="J32" s="10" t="s">
        <v>441</v>
      </c>
      <c r="K32" s="10" t="s">
        <v>441</v>
      </c>
      <c r="L32" s="21" t="s">
        <v>452</v>
      </c>
      <c r="M32" s="17">
        <f t="shared" ref="M32:M305" si="3">H32*B32</f>
        <v>1.93</v>
      </c>
      <c r="N32" s="17">
        <f t="shared" si="2"/>
        <v>0.8851</v>
      </c>
      <c r="O32" s="18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15.0" customHeight="1">
      <c r="A33" s="13" t="s">
        <v>17</v>
      </c>
      <c r="B33" s="14">
        <v>1.0</v>
      </c>
      <c r="C33" s="13" t="s">
        <v>23</v>
      </c>
      <c r="D33" s="13" t="s">
        <v>52</v>
      </c>
      <c r="E33" s="13" t="s">
        <v>13</v>
      </c>
      <c r="F33" s="13" t="s">
        <v>53</v>
      </c>
      <c r="G33" s="12"/>
      <c r="H33" s="19">
        <v>1.93</v>
      </c>
      <c r="I33" s="19">
        <v>0.8851</v>
      </c>
      <c r="J33" s="10" t="s">
        <v>441</v>
      </c>
      <c r="K33" s="10" t="s">
        <v>441</v>
      </c>
      <c r="L33" s="21" t="s">
        <v>453</v>
      </c>
      <c r="M33" s="17">
        <f t="shared" si="3"/>
        <v>1.93</v>
      </c>
      <c r="N33" s="17">
        <f t="shared" si="2"/>
        <v>0.8851</v>
      </c>
      <c r="O33" s="18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11.25" customHeight="1">
      <c r="A34" s="13" t="s">
        <v>43</v>
      </c>
      <c r="B34" s="14">
        <v>1.0</v>
      </c>
      <c r="C34" s="13" t="s">
        <v>23</v>
      </c>
      <c r="D34" s="13" t="s">
        <v>52</v>
      </c>
      <c r="E34" s="13" t="s">
        <v>13</v>
      </c>
      <c r="F34" s="13" t="s">
        <v>53</v>
      </c>
      <c r="G34" s="12"/>
      <c r="H34" s="19">
        <v>1.93</v>
      </c>
      <c r="I34" s="19">
        <v>0.8851</v>
      </c>
      <c r="J34" s="10" t="s">
        <v>441</v>
      </c>
      <c r="K34" s="10" t="s">
        <v>441</v>
      </c>
      <c r="L34" s="21" t="s">
        <v>454</v>
      </c>
      <c r="M34" s="17">
        <f t="shared" si="3"/>
        <v>1.93</v>
      </c>
      <c r="N34" s="17">
        <f t="shared" si="2"/>
        <v>0.8851</v>
      </c>
      <c r="O34" s="18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15.0" customHeight="1">
      <c r="A35" s="13" t="s">
        <v>44</v>
      </c>
      <c r="B35" s="14">
        <v>1.0</v>
      </c>
      <c r="C35" s="13" t="s">
        <v>23</v>
      </c>
      <c r="D35" s="13" t="s">
        <v>52</v>
      </c>
      <c r="E35" s="13" t="s">
        <v>13</v>
      </c>
      <c r="F35" s="13" t="s">
        <v>53</v>
      </c>
      <c r="G35" s="12"/>
      <c r="H35" s="19">
        <v>1.93</v>
      </c>
      <c r="I35" s="19">
        <v>0.8851</v>
      </c>
      <c r="J35" s="10" t="s">
        <v>441</v>
      </c>
      <c r="K35" s="10" t="s">
        <v>441</v>
      </c>
      <c r="L35" s="21" t="s">
        <v>455</v>
      </c>
      <c r="M35" s="17">
        <f t="shared" si="3"/>
        <v>1.93</v>
      </c>
      <c r="N35" s="17">
        <f t="shared" si="2"/>
        <v>0.8851</v>
      </c>
      <c r="O35" s="18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11.25" customHeight="1">
      <c r="A36" s="13" t="s">
        <v>45</v>
      </c>
      <c r="B36" s="14">
        <v>1.0</v>
      </c>
      <c r="C36" s="13" t="s">
        <v>23</v>
      </c>
      <c r="D36" s="13" t="s">
        <v>52</v>
      </c>
      <c r="E36" s="13" t="s">
        <v>13</v>
      </c>
      <c r="F36" s="13" t="s">
        <v>53</v>
      </c>
      <c r="G36" s="12"/>
      <c r="H36" s="19">
        <v>1.93</v>
      </c>
      <c r="I36" s="19">
        <v>0.8851</v>
      </c>
      <c r="J36" s="10" t="s">
        <v>441</v>
      </c>
      <c r="K36" s="10" t="s">
        <v>441</v>
      </c>
      <c r="L36" s="21" t="s">
        <v>456</v>
      </c>
      <c r="M36" s="17">
        <f t="shared" si="3"/>
        <v>1.93</v>
      </c>
      <c r="N36" s="17">
        <f t="shared" si="2"/>
        <v>0.8851</v>
      </c>
      <c r="O36" s="18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11.25" customHeight="1">
      <c r="A37" s="13" t="s">
        <v>46</v>
      </c>
      <c r="B37" s="14">
        <v>1.0</v>
      </c>
      <c r="C37" s="13" t="s">
        <v>23</v>
      </c>
      <c r="D37" s="13" t="s">
        <v>52</v>
      </c>
      <c r="E37" s="13" t="s">
        <v>13</v>
      </c>
      <c r="F37" s="13" t="s">
        <v>53</v>
      </c>
      <c r="G37" s="12"/>
      <c r="H37" s="19">
        <v>1.93</v>
      </c>
      <c r="I37" s="19">
        <v>0.8851</v>
      </c>
      <c r="J37" s="10" t="s">
        <v>441</v>
      </c>
      <c r="K37" s="10" t="s">
        <v>441</v>
      </c>
      <c r="L37" s="21" t="s">
        <v>457</v>
      </c>
      <c r="M37" s="17">
        <f t="shared" si="3"/>
        <v>1.93</v>
      </c>
      <c r="N37" s="17">
        <f t="shared" si="2"/>
        <v>0.8851</v>
      </c>
      <c r="O37" s="18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15.0" customHeight="1">
      <c r="A38" s="13" t="s">
        <v>54</v>
      </c>
      <c r="B38" s="14">
        <v>1.0</v>
      </c>
      <c r="C38" s="13" t="s">
        <v>23</v>
      </c>
      <c r="D38" s="13" t="s">
        <v>52</v>
      </c>
      <c r="E38" s="13" t="s">
        <v>13</v>
      </c>
      <c r="F38" s="13" t="s">
        <v>53</v>
      </c>
      <c r="G38" s="12"/>
      <c r="H38" s="19">
        <v>1.93</v>
      </c>
      <c r="I38" s="19">
        <v>0.8851</v>
      </c>
      <c r="J38" s="10" t="s">
        <v>441</v>
      </c>
      <c r="K38" s="10" t="s">
        <v>441</v>
      </c>
      <c r="L38" s="21" t="s">
        <v>458</v>
      </c>
      <c r="M38" s="17">
        <f t="shared" si="3"/>
        <v>1.93</v>
      </c>
      <c r="N38" s="17">
        <f t="shared" si="2"/>
        <v>0.8851</v>
      </c>
      <c r="O38" s="18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11.25" customHeight="1">
      <c r="A39" s="13" t="s">
        <v>55</v>
      </c>
      <c r="B39" s="14">
        <v>18.0</v>
      </c>
      <c r="C39" s="13" t="s">
        <v>56</v>
      </c>
      <c r="D39" s="13" t="s">
        <v>57</v>
      </c>
      <c r="E39" s="13" t="s">
        <v>13</v>
      </c>
      <c r="F39" s="13" t="s">
        <v>58</v>
      </c>
      <c r="G39" s="12"/>
      <c r="H39" s="19">
        <v>6.02</v>
      </c>
      <c r="I39" s="19">
        <v>4.97519</v>
      </c>
      <c r="J39" s="10" t="s">
        <v>441</v>
      </c>
      <c r="K39" s="10" t="s">
        <v>441</v>
      </c>
      <c r="L39" s="21" t="s">
        <v>459</v>
      </c>
      <c r="M39" s="17">
        <f t="shared" si="3"/>
        <v>108.36</v>
      </c>
      <c r="N39" s="17">
        <f t="shared" si="2"/>
        <v>89.55342</v>
      </c>
      <c r="O39" s="18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11.25" customHeight="1">
      <c r="A40" s="13" t="s">
        <v>59</v>
      </c>
      <c r="B40" s="14">
        <v>18.0</v>
      </c>
      <c r="C40" s="13" t="s">
        <v>56</v>
      </c>
      <c r="D40" s="13" t="s">
        <v>57</v>
      </c>
      <c r="E40" s="13" t="s">
        <v>13</v>
      </c>
      <c r="F40" s="13" t="s">
        <v>58</v>
      </c>
      <c r="G40" s="12"/>
      <c r="H40" s="19">
        <v>6.02</v>
      </c>
      <c r="I40" s="19">
        <v>4.97519</v>
      </c>
      <c r="J40" s="10" t="s">
        <v>441</v>
      </c>
      <c r="K40" s="10" t="s">
        <v>441</v>
      </c>
      <c r="L40" s="21" t="s">
        <v>460</v>
      </c>
      <c r="M40" s="17">
        <f t="shared" si="3"/>
        <v>108.36</v>
      </c>
      <c r="N40" s="17">
        <f t="shared" si="2"/>
        <v>89.55342</v>
      </c>
      <c r="O40" s="1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15.0" customHeight="1">
      <c r="A41" s="13" t="s">
        <v>60</v>
      </c>
      <c r="B41" s="14">
        <v>1.0</v>
      </c>
      <c r="C41" s="13" t="s">
        <v>61</v>
      </c>
      <c r="D41" s="13" t="s">
        <v>62</v>
      </c>
      <c r="E41" s="13" t="s">
        <v>13</v>
      </c>
      <c r="F41" s="13" t="s">
        <v>63</v>
      </c>
      <c r="G41" s="12"/>
      <c r="H41" s="19">
        <v>1.62</v>
      </c>
      <c r="I41" s="19">
        <v>0.87942</v>
      </c>
      <c r="J41" s="10" t="s">
        <v>441</v>
      </c>
      <c r="K41" s="10" t="s">
        <v>441</v>
      </c>
      <c r="L41" s="21" t="s">
        <v>461</v>
      </c>
      <c r="M41" s="17">
        <f t="shared" si="3"/>
        <v>1.62</v>
      </c>
      <c r="N41" s="17">
        <f t="shared" si="2"/>
        <v>0.87942</v>
      </c>
      <c r="O41" s="18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11.25" customHeight="1">
      <c r="A42" s="13" t="s">
        <v>64</v>
      </c>
      <c r="B42" s="14">
        <v>1.0</v>
      </c>
      <c r="C42" s="13" t="s">
        <v>61</v>
      </c>
      <c r="D42" s="13" t="s">
        <v>62</v>
      </c>
      <c r="E42" s="13" t="s">
        <v>13</v>
      </c>
      <c r="F42" s="13" t="s">
        <v>63</v>
      </c>
      <c r="G42" s="12"/>
      <c r="H42" s="19">
        <v>1.62</v>
      </c>
      <c r="I42" s="19">
        <v>0.87942</v>
      </c>
      <c r="J42" s="10" t="s">
        <v>441</v>
      </c>
      <c r="K42" s="10" t="s">
        <v>441</v>
      </c>
      <c r="L42" s="21" t="s">
        <v>462</v>
      </c>
      <c r="M42" s="17">
        <f t="shared" si="3"/>
        <v>1.62</v>
      </c>
      <c r="N42" s="17">
        <f t="shared" si="2"/>
        <v>0.87942</v>
      </c>
      <c r="O42" s="18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11.25" customHeight="1">
      <c r="A43" s="13" t="s">
        <v>10</v>
      </c>
      <c r="B43" s="14">
        <v>2.0</v>
      </c>
      <c r="C43" s="13" t="s">
        <v>65</v>
      </c>
      <c r="D43" s="13" t="s">
        <v>66</v>
      </c>
      <c r="E43" s="13" t="s">
        <v>13</v>
      </c>
      <c r="F43" s="13" t="s">
        <v>67</v>
      </c>
      <c r="G43" s="12"/>
      <c r="H43" s="19">
        <v>0.92</v>
      </c>
      <c r="I43" s="19">
        <v>0.49893</v>
      </c>
      <c r="J43" s="10" t="s">
        <v>441</v>
      </c>
      <c r="K43" s="10" t="s">
        <v>441</v>
      </c>
      <c r="L43" s="21" t="s">
        <v>463</v>
      </c>
      <c r="M43" s="17">
        <f t="shared" si="3"/>
        <v>1.84</v>
      </c>
      <c r="N43" s="17">
        <f t="shared" si="2"/>
        <v>0.99786</v>
      </c>
      <c r="O43" s="18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15.0" customHeight="1">
      <c r="A44" s="13" t="s">
        <v>16</v>
      </c>
      <c r="B44" s="14">
        <v>1.0</v>
      </c>
      <c r="C44" s="13" t="s">
        <v>68</v>
      </c>
      <c r="D44" s="13" t="s">
        <v>69</v>
      </c>
      <c r="E44" s="15"/>
      <c r="F44" s="13" t="s">
        <v>70</v>
      </c>
      <c r="G44" s="12"/>
      <c r="H44" s="19">
        <v>1.73</v>
      </c>
      <c r="I44" s="19">
        <v>0.93888</v>
      </c>
      <c r="J44" s="10" t="s">
        <v>441</v>
      </c>
      <c r="K44" s="10" t="s">
        <v>441</v>
      </c>
      <c r="L44" s="21" t="s">
        <v>464</v>
      </c>
      <c r="M44" s="17">
        <f t="shared" si="3"/>
        <v>1.73</v>
      </c>
      <c r="N44" s="17">
        <f t="shared" si="2"/>
        <v>0.93888</v>
      </c>
      <c r="O44" s="18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11.25" customHeight="1">
      <c r="A45" s="13" t="s">
        <v>31</v>
      </c>
      <c r="B45" s="14">
        <v>1.0</v>
      </c>
      <c r="C45" s="13" t="s">
        <v>68</v>
      </c>
      <c r="D45" s="13" t="s">
        <v>69</v>
      </c>
      <c r="E45" s="15"/>
      <c r="F45" s="13" t="s">
        <v>70</v>
      </c>
      <c r="G45" s="12"/>
      <c r="H45" s="19">
        <v>1.73</v>
      </c>
      <c r="I45" s="19">
        <v>0.93888</v>
      </c>
      <c r="J45" s="10" t="s">
        <v>441</v>
      </c>
      <c r="K45" s="10" t="s">
        <v>441</v>
      </c>
      <c r="L45" s="21" t="s">
        <v>465</v>
      </c>
      <c r="M45" s="17">
        <f t="shared" si="3"/>
        <v>1.73</v>
      </c>
      <c r="N45" s="17">
        <f t="shared" si="2"/>
        <v>0.93888</v>
      </c>
      <c r="O45" s="18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11.25" customHeight="1">
      <c r="A46" s="13" t="s">
        <v>26</v>
      </c>
      <c r="B46" s="14">
        <v>1.0</v>
      </c>
      <c r="C46" s="13" t="s">
        <v>68</v>
      </c>
      <c r="D46" s="13" t="s">
        <v>71</v>
      </c>
      <c r="E46" s="13" t="s">
        <v>13</v>
      </c>
      <c r="F46" s="13" t="s">
        <v>72</v>
      </c>
      <c r="G46" s="12"/>
      <c r="H46" s="19">
        <v>2.56</v>
      </c>
      <c r="I46" s="19">
        <v>1.38551</v>
      </c>
      <c r="J46" s="10" t="s">
        <v>441</v>
      </c>
      <c r="K46" s="10" t="s">
        <v>441</v>
      </c>
      <c r="L46" s="21" t="s">
        <v>466</v>
      </c>
      <c r="M46" s="17">
        <f t="shared" si="3"/>
        <v>2.56</v>
      </c>
      <c r="N46" s="17">
        <f t="shared" si="2"/>
        <v>1.38551</v>
      </c>
      <c r="O46" s="18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15.0" customHeight="1">
      <c r="A47" s="13" t="s">
        <v>60</v>
      </c>
      <c r="B47" s="14">
        <v>4.0</v>
      </c>
      <c r="C47" s="13" t="s">
        <v>68</v>
      </c>
      <c r="D47" s="13" t="s">
        <v>73</v>
      </c>
      <c r="E47" s="15"/>
      <c r="F47" s="13" t="s">
        <v>74</v>
      </c>
      <c r="G47" s="12"/>
      <c r="H47" s="19">
        <v>4.78</v>
      </c>
      <c r="I47" s="19">
        <v>2.6175</v>
      </c>
      <c r="J47" s="10" t="s">
        <v>441</v>
      </c>
      <c r="K47" s="10" t="s">
        <v>441</v>
      </c>
      <c r="L47" s="21" t="s">
        <v>467</v>
      </c>
      <c r="M47" s="17">
        <f t="shared" si="3"/>
        <v>19.12</v>
      </c>
      <c r="N47" s="17">
        <f t="shared" si="2"/>
        <v>10.47</v>
      </c>
      <c r="O47" s="18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11.25" customHeight="1">
      <c r="A48" s="13" t="s">
        <v>27</v>
      </c>
      <c r="B48" s="14">
        <v>1.0</v>
      </c>
      <c r="C48" s="13" t="s">
        <v>68</v>
      </c>
      <c r="D48" s="13" t="s">
        <v>75</v>
      </c>
      <c r="E48" s="15"/>
      <c r="F48" s="13" t="s">
        <v>76</v>
      </c>
      <c r="G48" s="12"/>
      <c r="H48" s="19">
        <v>7.96</v>
      </c>
      <c r="I48" s="19">
        <v>3.75555</v>
      </c>
      <c r="J48" s="10" t="s">
        <v>441</v>
      </c>
      <c r="K48" s="10" t="s">
        <v>441</v>
      </c>
      <c r="L48" s="21" t="s">
        <v>468</v>
      </c>
      <c r="M48" s="17">
        <f t="shared" si="3"/>
        <v>7.96</v>
      </c>
      <c r="N48" s="17">
        <f t="shared" si="2"/>
        <v>3.75555</v>
      </c>
      <c r="O48" s="18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11.25" customHeight="1">
      <c r="A49" s="13" t="s">
        <v>64</v>
      </c>
      <c r="B49" s="14">
        <v>4.0</v>
      </c>
      <c r="C49" s="13" t="s">
        <v>68</v>
      </c>
      <c r="D49" s="13" t="s">
        <v>75</v>
      </c>
      <c r="E49" s="15"/>
      <c r="F49" s="13" t="s">
        <v>76</v>
      </c>
      <c r="G49" s="12"/>
      <c r="H49" s="19">
        <v>7.96</v>
      </c>
      <c r="I49" s="19">
        <v>3.5025</v>
      </c>
      <c r="J49" s="10" t="s">
        <v>441</v>
      </c>
      <c r="K49" s="10" t="s">
        <v>441</v>
      </c>
      <c r="L49" s="21" t="s">
        <v>469</v>
      </c>
      <c r="M49" s="17">
        <f t="shared" si="3"/>
        <v>31.84</v>
      </c>
      <c r="N49" s="17">
        <f t="shared" si="2"/>
        <v>14.01</v>
      </c>
      <c r="O49" s="18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15.0" customHeight="1">
      <c r="A50" s="13" t="s">
        <v>77</v>
      </c>
      <c r="B50" s="14">
        <v>2.0</v>
      </c>
      <c r="C50" s="13" t="s">
        <v>11</v>
      </c>
      <c r="D50" s="13" t="s">
        <v>78</v>
      </c>
      <c r="E50" s="13" t="s">
        <v>13</v>
      </c>
      <c r="F50" s="13" t="s">
        <v>79</v>
      </c>
      <c r="G50" s="12"/>
      <c r="H50" s="19">
        <v>3.29</v>
      </c>
      <c r="I50" s="19">
        <v>1.53048</v>
      </c>
      <c r="J50" s="10" t="s">
        <v>441</v>
      </c>
      <c r="K50" s="10" t="s">
        <v>441</v>
      </c>
      <c r="L50" s="21" t="s">
        <v>470</v>
      </c>
      <c r="M50" s="17">
        <f t="shared" si="3"/>
        <v>6.58</v>
      </c>
      <c r="N50" s="17">
        <f t="shared" si="2"/>
        <v>3.06096</v>
      </c>
      <c r="O50" s="18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15.0" customHeight="1">
      <c r="A51" s="13" t="s">
        <v>80</v>
      </c>
      <c r="B51" s="14">
        <v>1.0</v>
      </c>
      <c r="C51" s="13" t="s">
        <v>11</v>
      </c>
      <c r="D51" s="13" t="s">
        <v>78</v>
      </c>
      <c r="E51" s="13" t="s">
        <v>13</v>
      </c>
      <c r="F51" s="16" t="s">
        <v>79</v>
      </c>
      <c r="G51" s="12"/>
      <c r="H51" s="19">
        <v>3.29</v>
      </c>
      <c r="I51" s="19">
        <v>1.53048</v>
      </c>
      <c r="J51" s="10" t="s">
        <v>441</v>
      </c>
      <c r="K51" s="10" t="s">
        <v>441</v>
      </c>
      <c r="L51" s="21" t="s">
        <v>471</v>
      </c>
      <c r="M51" s="17">
        <f t="shared" si="3"/>
        <v>3.29</v>
      </c>
      <c r="N51" s="17">
        <f t="shared" si="2"/>
        <v>1.53048</v>
      </c>
      <c r="O51" s="18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11.25" customHeight="1">
      <c r="A52" s="13" t="s">
        <v>77</v>
      </c>
      <c r="B52" s="14">
        <v>1.0</v>
      </c>
      <c r="C52" s="13" t="s">
        <v>61</v>
      </c>
      <c r="D52" s="13" t="s">
        <v>81</v>
      </c>
      <c r="E52" s="15"/>
      <c r="F52" s="13" t="s">
        <v>82</v>
      </c>
      <c r="G52" s="12"/>
      <c r="H52" s="19">
        <v>1.44</v>
      </c>
      <c r="I52" s="19">
        <v>0.78155</v>
      </c>
      <c r="J52" s="10" t="s">
        <v>441</v>
      </c>
      <c r="K52" s="10" t="s">
        <v>441</v>
      </c>
      <c r="L52" s="21" t="s">
        <v>472</v>
      </c>
      <c r="M52" s="17">
        <f t="shared" si="3"/>
        <v>1.44</v>
      </c>
      <c r="N52" s="17">
        <f t="shared" si="2"/>
        <v>0.78155</v>
      </c>
      <c r="O52" s="18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11.25" customHeight="1">
      <c r="A53" s="13" t="s">
        <v>77</v>
      </c>
      <c r="B53" s="14">
        <v>1.0</v>
      </c>
      <c r="C53" s="13" t="s">
        <v>68</v>
      </c>
      <c r="D53" s="13" t="s">
        <v>83</v>
      </c>
      <c r="E53" s="15"/>
      <c r="F53" s="13" t="s">
        <v>84</v>
      </c>
      <c r="G53" s="12"/>
      <c r="H53" s="19">
        <v>1.95</v>
      </c>
      <c r="I53" s="19">
        <v>1.05766</v>
      </c>
      <c r="J53" s="10" t="s">
        <v>441</v>
      </c>
      <c r="K53" s="10" t="s">
        <v>441</v>
      </c>
      <c r="L53" s="21" t="s">
        <v>473</v>
      </c>
      <c r="M53" s="17">
        <f t="shared" si="3"/>
        <v>1.95</v>
      </c>
      <c r="N53" s="17">
        <f t="shared" si="2"/>
        <v>1.05766</v>
      </c>
      <c r="O53" s="18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11.25" customHeight="1">
      <c r="A54" s="16" t="s">
        <v>85</v>
      </c>
      <c r="B54" s="14">
        <v>1.0</v>
      </c>
      <c r="C54" s="13" t="s">
        <v>86</v>
      </c>
      <c r="D54" s="13" t="s">
        <v>87</v>
      </c>
      <c r="E54" s="13" t="s">
        <v>13</v>
      </c>
      <c r="F54" s="16" t="s">
        <v>88</v>
      </c>
      <c r="G54" s="12"/>
      <c r="H54" s="19">
        <v>58.11</v>
      </c>
      <c r="I54" s="19">
        <v>50.8725</v>
      </c>
      <c r="J54" s="10" t="s">
        <v>441</v>
      </c>
      <c r="K54" s="10" t="s">
        <v>441</v>
      </c>
      <c r="L54" s="21" t="s">
        <v>474</v>
      </c>
      <c r="M54" s="17">
        <f t="shared" si="3"/>
        <v>58.11</v>
      </c>
      <c r="N54" s="17">
        <f t="shared" si="2"/>
        <v>50.8725</v>
      </c>
      <c r="O54" s="18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11.25" customHeight="1">
      <c r="A55" s="16" t="s">
        <v>89</v>
      </c>
      <c r="B55" s="14">
        <v>1.0</v>
      </c>
      <c r="C55" s="13" t="s">
        <v>86</v>
      </c>
      <c r="D55" s="13" t="s">
        <v>90</v>
      </c>
      <c r="E55" s="15"/>
      <c r="F55" s="16" t="s">
        <v>91</v>
      </c>
      <c r="G55" s="12"/>
      <c r="H55" s="19">
        <v>58.11</v>
      </c>
      <c r="I55" s="19">
        <v>58.11</v>
      </c>
      <c r="J55" s="10" t="s">
        <v>441</v>
      </c>
      <c r="K55" s="10" t="s">
        <v>441</v>
      </c>
      <c r="L55" s="21" t="s">
        <v>475</v>
      </c>
      <c r="M55" s="17">
        <f t="shared" si="3"/>
        <v>58.11</v>
      </c>
      <c r="N55" s="17">
        <f t="shared" si="2"/>
        <v>58.11</v>
      </c>
      <c r="O55" s="18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11.25" customHeight="1">
      <c r="A56" s="13" t="s">
        <v>92</v>
      </c>
      <c r="B56" s="14">
        <v>2.0</v>
      </c>
      <c r="C56" s="13" t="s">
        <v>93</v>
      </c>
      <c r="D56" s="13" t="s">
        <v>94</v>
      </c>
      <c r="E56" s="13" t="s">
        <v>13</v>
      </c>
      <c r="F56" s="13" t="s">
        <v>95</v>
      </c>
      <c r="G56" s="12"/>
      <c r="H56" s="19">
        <v>12.6</v>
      </c>
      <c r="I56" s="19">
        <v>8.79</v>
      </c>
      <c r="J56" s="10" t="s">
        <v>441</v>
      </c>
      <c r="K56" s="10" t="s">
        <v>441</v>
      </c>
      <c r="L56" s="21" t="s">
        <v>476</v>
      </c>
      <c r="M56" s="17">
        <f t="shared" si="3"/>
        <v>25.2</v>
      </c>
      <c r="N56" s="17">
        <f t="shared" si="2"/>
        <v>17.58</v>
      </c>
      <c r="O56" s="18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11.25" customHeight="1">
      <c r="A57" s="16" t="s">
        <v>80</v>
      </c>
      <c r="B57" s="14">
        <v>1.0</v>
      </c>
      <c r="C57" s="13" t="s">
        <v>93</v>
      </c>
      <c r="D57" s="13" t="s">
        <v>94</v>
      </c>
      <c r="E57" s="13" t="s">
        <v>13</v>
      </c>
      <c r="F57" s="16" t="s">
        <v>95</v>
      </c>
      <c r="G57" s="12"/>
      <c r="H57" s="19">
        <v>12.6</v>
      </c>
      <c r="I57" s="19">
        <v>8.79</v>
      </c>
      <c r="J57" s="10" t="s">
        <v>441</v>
      </c>
      <c r="K57" s="10" t="s">
        <v>441</v>
      </c>
      <c r="L57" s="21" t="s">
        <v>477</v>
      </c>
      <c r="M57" s="17">
        <f t="shared" si="3"/>
        <v>12.6</v>
      </c>
      <c r="N57" s="17">
        <f t="shared" si="2"/>
        <v>8.79</v>
      </c>
      <c r="O57" s="18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15.75" customHeight="1">
      <c r="A58" s="13" t="s">
        <v>92</v>
      </c>
      <c r="B58" s="14">
        <v>1.0</v>
      </c>
      <c r="C58" s="13" t="s">
        <v>61</v>
      </c>
      <c r="D58" s="13" t="s">
        <v>96</v>
      </c>
      <c r="E58" s="15"/>
      <c r="F58" s="13" t="s">
        <v>97</v>
      </c>
      <c r="G58" s="12"/>
      <c r="H58" s="19">
        <v>1.45</v>
      </c>
      <c r="I58" s="19">
        <v>0.78687</v>
      </c>
      <c r="J58" s="10" t="s">
        <v>441</v>
      </c>
      <c r="K58" s="10" t="s">
        <v>441</v>
      </c>
      <c r="L58" s="21" t="s">
        <v>478</v>
      </c>
      <c r="M58" s="17">
        <f t="shared" si="3"/>
        <v>1.45</v>
      </c>
      <c r="N58" s="17">
        <f t="shared" si="2"/>
        <v>0.78687</v>
      </c>
      <c r="O58" s="18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15.75" customHeight="1">
      <c r="A59" s="13" t="s">
        <v>80</v>
      </c>
      <c r="B59" s="14">
        <v>1.0</v>
      </c>
      <c r="C59" s="13" t="s">
        <v>61</v>
      </c>
      <c r="D59" s="13" t="s">
        <v>96</v>
      </c>
      <c r="E59" s="15"/>
      <c r="F59" s="13" t="s">
        <v>97</v>
      </c>
      <c r="G59" s="12"/>
      <c r="H59" s="19">
        <v>1.45</v>
      </c>
      <c r="I59" s="19">
        <v>0.78687</v>
      </c>
      <c r="J59" s="10" t="s">
        <v>441</v>
      </c>
      <c r="K59" s="10" t="s">
        <v>441</v>
      </c>
      <c r="L59" s="21" t="s">
        <v>479</v>
      </c>
      <c r="M59" s="17">
        <f t="shared" si="3"/>
        <v>1.45</v>
      </c>
      <c r="N59" s="17">
        <f t="shared" si="2"/>
        <v>0.78687</v>
      </c>
      <c r="O59" s="18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15.75" customHeight="1">
      <c r="A60" s="16" t="s">
        <v>85</v>
      </c>
      <c r="B60" s="14">
        <v>1.0</v>
      </c>
      <c r="C60" s="13" t="s">
        <v>61</v>
      </c>
      <c r="D60" s="13" t="s">
        <v>96</v>
      </c>
      <c r="E60" s="15"/>
      <c r="F60" s="16" t="s">
        <v>97</v>
      </c>
      <c r="G60" s="12"/>
      <c r="H60" s="19">
        <v>1.45</v>
      </c>
      <c r="I60" s="19">
        <v>0.78687</v>
      </c>
      <c r="J60" s="10" t="s">
        <v>441</v>
      </c>
      <c r="K60" s="10" t="s">
        <v>441</v>
      </c>
      <c r="L60" s="21" t="s">
        <v>480</v>
      </c>
      <c r="M60" s="17">
        <f t="shared" si="3"/>
        <v>1.45</v>
      </c>
      <c r="N60" s="17">
        <f t="shared" si="2"/>
        <v>0.78687</v>
      </c>
      <c r="O60" s="18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15.75" customHeight="1">
      <c r="A61" s="16" t="s">
        <v>89</v>
      </c>
      <c r="B61" s="14">
        <v>1.0</v>
      </c>
      <c r="C61" s="13" t="s">
        <v>61</v>
      </c>
      <c r="D61" s="13" t="s">
        <v>96</v>
      </c>
      <c r="E61" s="15"/>
      <c r="F61" s="16" t="s">
        <v>97</v>
      </c>
      <c r="G61" s="12"/>
      <c r="H61" s="19">
        <v>1.45</v>
      </c>
      <c r="I61" s="19">
        <v>0.78687</v>
      </c>
      <c r="J61" s="10" t="s">
        <v>441</v>
      </c>
      <c r="K61" s="10" t="s">
        <v>441</v>
      </c>
      <c r="L61" s="21" t="s">
        <v>481</v>
      </c>
      <c r="M61" s="17">
        <f t="shared" si="3"/>
        <v>1.45</v>
      </c>
      <c r="N61" s="17">
        <f t="shared" si="2"/>
        <v>0.78687</v>
      </c>
      <c r="O61" s="18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15.75" customHeight="1">
      <c r="A62" s="13" t="s">
        <v>92</v>
      </c>
      <c r="B62" s="14">
        <v>1.0</v>
      </c>
      <c r="C62" s="13" t="s">
        <v>68</v>
      </c>
      <c r="D62" s="13" t="s">
        <v>98</v>
      </c>
      <c r="E62" s="15"/>
      <c r="F62" s="13" t="s">
        <v>99</v>
      </c>
      <c r="G62" s="12"/>
      <c r="H62" s="19">
        <v>2.57</v>
      </c>
      <c r="I62" s="19">
        <v>1.39271</v>
      </c>
      <c r="J62" s="10" t="s">
        <v>441</v>
      </c>
      <c r="K62" s="10" t="s">
        <v>441</v>
      </c>
      <c r="L62" s="21" t="s">
        <v>482</v>
      </c>
      <c r="M62" s="17">
        <f t="shared" si="3"/>
        <v>2.57</v>
      </c>
      <c r="N62" s="17">
        <f t="shared" si="2"/>
        <v>1.39271</v>
      </c>
      <c r="O62" s="18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15.75" customHeight="1">
      <c r="A63" s="13" t="s">
        <v>51</v>
      </c>
      <c r="B63" s="14">
        <v>1.0</v>
      </c>
      <c r="C63" s="13" t="s">
        <v>100</v>
      </c>
      <c r="D63" s="13" t="s">
        <v>101</v>
      </c>
      <c r="E63" s="13" t="s">
        <v>13</v>
      </c>
      <c r="F63" s="13" t="s">
        <v>102</v>
      </c>
      <c r="G63" s="12"/>
      <c r="H63" s="19">
        <v>1.91</v>
      </c>
      <c r="I63" s="19">
        <v>1.03549</v>
      </c>
      <c r="J63" s="10" t="s">
        <v>441</v>
      </c>
      <c r="K63" s="10" t="s">
        <v>441</v>
      </c>
      <c r="L63" s="21" t="s">
        <v>483</v>
      </c>
      <c r="M63" s="17">
        <f t="shared" si="3"/>
        <v>1.91</v>
      </c>
      <c r="N63" s="17">
        <f t="shared" si="2"/>
        <v>1.03549</v>
      </c>
      <c r="O63" s="18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15.75" customHeight="1">
      <c r="A64" s="13" t="s">
        <v>103</v>
      </c>
      <c r="B64" s="14">
        <v>2.0</v>
      </c>
      <c r="C64" s="13" t="s">
        <v>100</v>
      </c>
      <c r="D64" s="13" t="s">
        <v>101</v>
      </c>
      <c r="E64" s="13" t="s">
        <v>13</v>
      </c>
      <c r="F64" s="16" t="s">
        <v>102</v>
      </c>
      <c r="G64" s="12"/>
      <c r="H64" s="19">
        <v>1.91</v>
      </c>
      <c r="I64" s="19">
        <v>1.03549</v>
      </c>
      <c r="J64" s="10" t="s">
        <v>441</v>
      </c>
      <c r="K64" s="10" t="s">
        <v>441</v>
      </c>
      <c r="L64" s="21" t="s">
        <v>484</v>
      </c>
      <c r="M64" s="17">
        <f t="shared" si="3"/>
        <v>3.82</v>
      </c>
      <c r="N64" s="17">
        <f t="shared" si="2"/>
        <v>2.07098</v>
      </c>
      <c r="O64" s="18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15.75" customHeight="1">
      <c r="A65" s="13" t="s">
        <v>10</v>
      </c>
      <c r="B65" s="14">
        <v>2.0</v>
      </c>
      <c r="C65" s="13" t="s">
        <v>100</v>
      </c>
      <c r="D65" s="13" t="s">
        <v>101</v>
      </c>
      <c r="E65" s="13" t="s">
        <v>13</v>
      </c>
      <c r="F65" s="13" t="s">
        <v>102</v>
      </c>
      <c r="G65" s="12"/>
      <c r="H65" s="19">
        <v>1.91</v>
      </c>
      <c r="I65" s="19">
        <v>1.03549</v>
      </c>
      <c r="J65" s="10" t="s">
        <v>441</v>
      </c>
      <c r="K65" s="10" t="s">
        <v>441</v>
      </c>
      <c r="L65" s="21" t="s">
        <v>485</v>
      </c>
      <c r="M65" s="17">
        <f t="shared" si="3"/>
        <v>3.82</v>
      </c>
      <c r="N65" s="17">
        <f t="shared" si="2"/>
        <v>2.07098</v>
      </c>
      <c r="O65" s="18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15.75" customHeight="1">
      <c r="A66" s="13" t="s">
        <v>15</v>
      </c>
      <c r="B66" s="14">
        <v>1.0</v>
      </c>
      <c r="C66" s="13" t="s">
        <v>100</v>
      </c>
      <c r="D66" s="13" t="s">
        <v>101</v>
      </c>
      <c r="E66" s="13" t="s">
        <v>13</v>
      </c>
      <c r="F66" s="13" t="s">
        <v>102</v>
      </c>
      <c r="G66" s="12"/>
      <c r="H66" s="19">
        <v>1.91</v>
      </c>
      <c r="I66" s="19">
        <v>1.03549</v>
      </c>
      <c r="J66" s="10" t="s">
        <v>441</v>
      </c>
      <c r="K66" s="10" t="s">
        <v>441</v>
      </c>
      <c r="L66" s="21" t="s">
        <v>486</v>
      </c>
      <c r="M66" s="17">
        <f t="shared" si="3"/>
        <v>1.91</v>
      </c>
      <c r="N66" s="17">
        <f t="shared" si="2"/>
        <v>1.03549</v>
      </c>
      <c r="O66" s="18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15.75" customHeight="1">
      <c r="A67" s="13" t="s">
        <v>16</v>
      </c>
      <c r="B67" s="14">
        <v>1.0</v>
      </c>
      <c r="C67" s="13" t="s">
        <v>100</v>
      </c>
      <c r="D67" s="13" t="s">
        <v>101</v>
      </c>
      <c r="E67" s="13" t="s">
        <v>13</v>
      </c>
      <c r="F67" s="13" t="s">
        <v>102</v>
      </c>
      <c r="G67" s="12"/>
      <c r="H67" s="19">
        <v>1.91</v>
      </c>
      <c r="I67" s="19">
        <v>1.03549</v>
      </c>
      <c r="J67" s="10" t="s">
        <v>441</v>
      </c>
      <c r="K67" s="10" t="s">
        <v>441</v>
      </c>
      <c r="L67" s="21" t="s">
        <v>487</v>
      </c>
      <c r="M67" s="17">
        <f t="shared" si="3"/>
        <v>1.91</v>
      </c>
      <c r="N67" s="17">
        <f t="shared" si="2"/>
        <v>1.03549</v>
      </c>
      <c r="O67" s="18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15.75" customHeight="1">
      <c r="A68" s="13" t="s">
        <v>17</v>
      </c>
      <c r="B68" s="14">
        <v>1.0</v>
      </c>
      <c r="C68" s="13" t="s">
        <v>100</v>
      </c>
      <c r="D68" s="13" t="s">
        <v>101</v>
      </c>
      <c r="E68" s="13" t="s">
        <v>13</v>
      </c>
      <c r="F68" s="13" t="s">
        <v>102</v>
      </c>
      <c r="G68" s="12"/>
      <c r="H68" s="19">
        <v>1.91</v>
      </c>
      <c r="I68" s="19">
        <v>1.03549</v>
      </c>
      <c r="J68" s="10" t="s">
        <v>441</v>
      </c>
      <c r="K68" s="10" t="s">
        <v>441</v>
      </c>
      <c r="L68" s="21" t="s">
        <v>488</v>
      </c>
      <c r="M68" s="17">
        <f t="shared" si="3"/>
        <v>1.91</v>
      </c>
      <c r="N68" s="17">
        <f t="shared" si="2"/>
        <v>1.03549</v>
      </c>
      <c r="O68" s="18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15.75" customHeight="1">
      <c r="A69" s="13" t="s">
        <v>43</v>
      </c>
      <c r="B69" s="14">
        <v>1.0</v>
      </c>
      <c r="C69" s="13" t="s">
        <v>100</v>
      </c>
      <c r="D69" s="13" t="s">
        <v>101</v>
      </c>
      <c r="E69" s="13" t="s">
        <v>13</v>
      </c>
      <c r="F69" s="13" t="s">
        <v>102</v>
      </c>
      <c r="G69" s="12"/>
      <c r="H69" s="19">
        <v>1.91</v>
      </c>
      <c r="I69" s="19">
        <v>1.03549</v>
      </c>
      <c r="J69" s="10" t="s">
        <v>441</v>
      </c>
      <c r="K69" s="10" t="s">
        <v>441</v>
      </c>
      <c r="L69" s="21" t="s">
        <v>489</v>
      </c>
      <c r="M69" s="17">
        <f t="shared" si="3"/>
        <v>1.91</v>
      </c>
      <c r="N69" s="17">
        <f t="shared" si="2"/>
        <v>1.03549</v>
      </c>
      <c r="O69" s="18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15.75" customHeight="1">
      <c r="A70" s="13" t="s">
        <v>44</v>
      </c>
      <c r="B70" s="14">
        <v>1.0</v>
      </c>
      <c r="C70" s="13" t="s">
        <v>100</v>
      </c>
      <c r="D70" s="13" t="s">
        <v>101</v>
      </c>
      <c r="E70" s="13" t="s">
        <v>13</v>
      </c>
      <c r="F70" s="13" t="s">
        <v>102</v>
      </c>
      <c r="G70" s="12"/>
      <c r="H70" s="19">
        <v>1.91</v>
      </c>
      <c r="I70" s="19">
        <v>1.03549</v>
      </c>
      <c r="J70" s="10" t="s">
        <v>441</v>
      </c>
      <c r="K70" s="10" t="s">
        <v>441</v>
      </c>
      <c r="L70" s="21" t="s">
        <v>490</v>
      </c>
      <c r="M70" s="17">
        <f t="shared" si="3"/>
        <v>1.91</v>
      </c>
      <c r="N70" s="17">
        <f t="shared" si="2"/>
        <v>1.03549</v>
      </c>
      <c r="O70" s="18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15.75" customHeight="1">
      <c r="A71" s="13" t="s">
        <v>45</v>
      </c>
      <c r="B71" s="14">
        <v>1.0</v>
      </c>
      <c r="C71" s="13" t="s">
        <v>100</v>
      </c>
      <c r="D71" s="13" t="s">
        <v>101</v>
      </c>
      <c r="E71" s="13" t="s">
        <v>13</v>
      </c>
      <c r="F71" s="13" t="s">
        <v>102</v>
      </c>
      <c r="G71" s="12"/>
      <c r="H71" s="19">
        <v>1.91</v>
      </c>
      <c r="I71" s="19">
        <v>1.03549</v>
      </c>
      <c r="J71" s="10" t="s">
        <v>441</v>
      </c>
      <c r="K71" s="10" t="s">
        <v>441</v>
      </c>
      <c r="L71" s="21" t="s">
        <v>491</v>
      </c>
      <c r="M71" s="17">
        <f t="shared" si="3"/>
        <v>1.91</v>
      </c>
      <c r="N71" s="17">
        <f t="shared" si="2"/>
        <v>1.03549</v>
      </c>
      <c r="O71" s="18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15.75" customHeight="1">
      <c r="A72" s="13" t="s">
        <v>46</v>
      </c>
      <c r="B72" s="14">
        <v>1.0</v>
      </c>
      <c r="C72" s="13" t="s">
        <v>100</v>
      </c>
      <c r="D72" s="13" t="s">
        <v>101</v>
      </c>
      <c r="E72" s="13" t="s">
        <v>13</v>
      </c>
      <c r="F72" s="13" t="s">
        <v>102</v>
      </c>
      <c r="G72" s="12"/>
      <c r="H72" s="19">
        <v>1.91</v>
      </c>
      <c r="I72" s="19">
        <v>1.03549</v>
      </c>
      <c r="J72" s="10" t="s">
        <v>441</v>
      </c>
      <c r="K72" s="10" t="s">
        <v>441</v>
      </c>
      <c r="L72" s="21" t="s">
        <v>492</v>
      </c>
      <c r="M72" s="17">
        <f t="shared" si="3"/>
        <v>1.91</v>
      </c>
      <c r="N72" s="17">
        <f t="shared" si="2"/>
        <v>1.03549</v>
      </c>
      <c r="O72" s="18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15.75" customHeight="1">
      <c r="A73" s="13" t="s">
        <v>27</v>
      </c>
      <c r="B73" s="14">
        <v>1.0</v>
      </c>
      <c r="C73" s="13" t="s">
        <v>100</v>
      </c>
      <c r="D73" s="13" t="s">
        <v>101</v>
      </c>
      <c r="E73" s="13" t="s">
        <v>13</v>
      </c>
      <c r="F73" s="13" t="s">
        <v>102</v>
      </c>
      <c r="G73" s="12"/>
      <c r="H73" s="19">
        <v>1.91</v>
      </c>
      <c r="I73" s="19">
        <v>1.03549</v>
      </c>
      <c r="J73" s="10" t="s">
        <v>441</v>
      </c>
      <c r="K73" s="10" t="s">
        <v>441</v>
      </c>
      <c r="L73" s="21" t="s">
        <v>493</v>
      </c>
      <c r="M73" s="17">
        <f t="shared" si="3"/>
        <v>1.91</v>
      </c>
      <c r="N73" s="17">
        <f t="shared" si="2"/>
        <v>1.03549</v>
      </c>
      <c r="O73" s="1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15.75" customHeight="1">
      <c r="A74" s="13" t="s">
        <v>77</v>
      </c>
      <c r="B74" s="14">
        <v>1.0</v>
      </c>
      <c r="C74" s="13" t="s">
        <v>100</v>
      </c>
      <c r="D74" s="13" t="s">
        <v>101</v>
      </c>
      <c r="E74" s="13" t="s">
        <v>13</v>
      </c>
      <c r="F74" s="13" t="s">
        <v>102</v>
      </c>
      <c r="G74" s="12"/>
      <c r="H74" s="19">
        <v>1.91</v>
      </c>
      <c r="I74" s="19">
        <v>1.03549</v>
      </c>
      <c r="J74" s="10" t="s">
        <v>441</v>
      </c>
      <c r="K74" s="10" t="s">
        <v>441</v>
      </c>
      <c r="L74" s="21" t="s">
        <v>494</v>
      </c>
      <c r="M74" s="17">
        <f t="shared" si="3"/>
        <v>1.91</v>
      </c>
      <c r="N74" s="17">
        <f t="shared" si="2"/>
        <v>1.03549</v>
      </c>
      <c r="O74" s="18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15.75" customHeight="1">
      <c r="A75" s="13" t="s">
        <v>31</v>
      </c>
      <c r="B75" s="14">
        <v>1.0</v>
      </c>
      <c r="C75" s="13" t="s">
        <v>100</v>
      </c>
      <c r="D75" s="13" t="s">
        <v>101</v>
      </c>
      <c r="E75" s="13" t="s">
        <v>13</v>
      </c>
      <c r="F75" s="13" t="s">
        <v>102</v>
      </c>
      <c r="G75" s="12"/>
      <c r="H75" s="19">
        <v>1.91</v>
      </c>
      <c r="I75" s="19">
        <v>1.03549</v>
      </c>
      <c r="J75" s="10" t="s">
        <v>441</v>
      </c>
      <c r="K75" s="10" t="s">
        <v>441</v>
      </c>
      <c r="L75" s="21" t="s">
        <v>495</v>
      </c>
      <c r="M75" s="17">
        <f t="shared" si="3"/>
        <v>1.91</v>
      </c>
      <c r="N75" s="17">
        <f t="shared" si="2"/>
        <v>1.03549</v>
      </c>
      <c r="O75" s="1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15.75" customHeight="1">
      <c r="A76" s="13" t="s">
        <v>92</v>
      </c>
      <c r="B76" s="14">
        <v>1.0</v>
      </c>
      <c r="C76" s="13" t="s">
        <v>100</v>
      </c>
      <c r="D76" s="13" t="s">
        <v>101</v>
      </c>
      <c r="E76" s="13" t="s">
        <v>13</v>
      </c>
      <c r="F76" s="13" t="s">
        <v>102</v>
      </c>
      <c r="G76" s="12"/>
      <c r="H76" s="19">
        <v>1.91</v>
      </c>
      <c r="I76" s="19">
        <v>1.03549</v>
      </c>
      <c r="J76" s="10" t="s">
        <v>441</v>
      </c>
      <c r="K76" s="10" t="s">
        <v>441</v>
      </c>
      <c r="L76" s="21" t="s">
        <v>496</v>
      </c>
      <c r="M76" s="17">
        <f t="shared" si="3"/>
        <v>1.91</v>
      </c>
      <c r="N76" s="17">
        <f t="shared" si="2"/>
        <v>1.03549</v>
      </c>
      <c r="O76" s="1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15.75" customHeight="1">
      <c r="A77" s="13" t="s">
        <v>80</v>
      </c>
      <c r="B77" s="14">
        <v>1.0</v>
      </c>
      <c r="C77" s="13" t="s">
        <v>100</v>
      </c>
      <c r="D77" s="13" t="s">
        <v>101</v>
      </c>
      <c r="E77" s="13" t="s">
        <v>13</v>
      </c>
      <c r="F77" s="13" t="s">
        <v>102</v>
      </c>
      <c r="G77" s="12"/>
      <c r="H77" s="19">
        <v>1.91</v>
      </c>
      <c r="I77" s="19">
        <v>1.03549</v>
      </c>
      <c r="J77" s="10" t="s">
        <v>441</v>
      </c>
      <c r="K77" s="10" t="s">
        <v>441</v>
      </c>
      <c r="L77" s="21" t="s">
        <v>497</v>
      </c>
      <c r="M77" s="17">
        <f t="shared" si="3"/>
        <v>1.91</v>
      </c>
      <c r="N77" s="17">
        <f t="shared" si="2"/>
        <v>1.03549</v>
      </c>
      <c r="O77" s="1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15.75" customHeight="1">
      <c r="A78" s="13" t="s">
        <v>26</v>
      </c>
      <c r="B78" s="14">
        <v>1.0</v>
      </c>
      <c r="C78" s="13" t="s">
        <v>100</v>
      </c>
      <c r="D78" s="13" t="s">
        <v>101</v>
      </c>
      <c r="E78" s="13" t="s">
        <v>13</v>
      </c>
      <c r="F78" s="13" t="s">
        <v>102</v>
      </c>
      <c r="G78" s="12"/>
      <c r="H78" s="19">
        <v>1.91</v>
      </c>
      <c r="I78" s="19">
        <v>1.03549</v>
      </c>
      <c r="J78" s="10" t="s">
        <v>441</v>
      </c>
      <c r="K78" s="10" t="s">
        <v>441</v>
      </c>
      <c r="L78" s="21" t="s">
        <v>498</v>
      </c>
      <c r="M78" s="17">
        <f t="shared" si="3"/>
        <v>1.91</v>
      </c>
      <c r="N78" s="17">
        <f t="shared" si="2"/>
        <v>1.03549</v>
      </c>
      <c r="O78" s="18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15.75" customHeight="1">
      <c r="A79" s="16" t="s">
        <v>85</v>
      </c>
      <c r="B79" s="14">
        <v>1.0</v>
      </c>
      <c r="C79" s="13" t="s">
        <v>100</v>
      </c>
      <c r="D79" s="13" t="s">
        <v>101</v>
      </c>
      <c r="E79" s="13" t="s">
        <v>13</v>
      </c>
      <c r="F79" s="16" t="s">
        <v>102</v>
      </c>
      <c r="G79" s="12"/>
      <c r="H79" s="19">
        <v>1.91</v>
      </c>
      <c r="I79" s="19">
        <v>1.03549</v>
      </c>
      <c r="J79" s="10" t="s">
        <v>441</v>
      </c>
      <c r="K79" s="10" t="s">
        <v>441</v>
      </c>
      <c r="L79" s="21" t="s">
        <v>499</v>
      </c>
      <c r="M79" s="17">
        <f t="shared" si="3"/>
        <v>1.91</v>
      </c>
      <c r="N79" s="17">
        <f t="shared" si="2"/>
        <v>1.03549</v>
      </c>
      <c r="O79" s="1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15.75" customHeight="1">
      <c r="A80" s="16" t="s">
        <v>89</v>
      </c>
      <c r="B80" s="14">
        <v>1.0</v>
      </c>
      <c r="C80" s="13" t="s">
        <v>100</v>
      </c>
      <c r="D80" s="13" t="s">
        <v>101</v>
      </c>
      <c r="E80" s="13" t="s">
        <v>13</v>
      </c>
      <c r="F80" s="16" t="s">
        <v>102</v>
      </c>
      <c r="G80" s="12"/>
      <c r="H80" s="19">
        <v>1.91</v>
      </c>
      <c r="I80" s="19">
        <v>1.03549</v>
      </c>
      <c r="J80" s="10" t="s">
        <v>441</v>
      </c>
      <c r="K80" s="10" t="s">
        <v>441</v>
      </c>
      <c r="L80" s="21" t="s">
        <v>500</v>
      </c>
      <c r="M80" s="17">
        <f t="shared" si="3"/>
        <v>1.91</v>
      </c>
      <c r="N80" s="17">
        <f t="shared" si="2"/>
        <v>1.03549</v>
      </c>
      <c r="O80" s="1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15.75" customHeight="1">
      <c r="A81" s="13" t="s">
        <v>60</v>
      </c>
      <c r="B81" s="14">
        <v>1.0</v>
      </c>
      <c r="C81" s="13" t="s">
        <v>100</v>
      </c>
      <c r="D81" s="13" t="s">
        <v>101</v>
      </c>
      <c r="E81" s="13" t="s">
        <v>13</v>
      </c>
      <c r="F81" s="13" t="s">
        <v>102</v>
      </c>
      <c r="G81" s="12"/>
      <c r="H81" s="19">
        <v>1.91</v>
      </c>
      <c r="I81" s="19">
        <v>1.03549</v>
      </c>
      <c r="J81" s="10" t="s">
        <v>441</v>
      </c>
      <c r="K81" s="10" t="s">
        <v>441</v>
      </c>
      <c r="L81" s="21" t="s">
        <v>501</v>
      </c>
      <c r="M81" s="17">
        <f t="shared" si="3"/>
        <v>1.91</v>
      </c>
      <c r="N81" s="17">
        <f t="shared" si="2"/>
        <v>1.03549</v>
      </c>
      <c r="O81" s="1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15.75" customHeight="1">
      <c r="A82" s="13" t="s">
        <v>54</v>
      </c>
      <c r="B82" s="14">
        <v>1.0</v>
      </c>
      <c r="C82" s="13" t="s">
        <v>100</v>
      </c>
      <c r="D82" s="13" t="s">
        <v>101</v>
      </c>
      <c r="E82" s="13" t="s">
        <v>13</v>
      </c>
      <c r="F82" s="13" t="s">
        <v>102</v>
      </c>
      <c r="G82" s="12"/>
      <c r="H82" s="19">
        <v>1.91</v>
      </c>
      <c r="I82" s="19">
        <v>1.03549</v>
      </c>
      <c r="J82" s="10" t="s">
        <v>441</v>
      </c>
      <c r="K82" s="10" t="s">
        <v>441</v>
      </c>
      <c r="L82" s="21" t="s">
        <v>502</v>
      </c>
      <c r="M82" s="17">
        <f t="shared" si="3"/>
        <v>1.91</v>
      </c>
      <c r="N82" s="17">
        <f t="shared" si="2"/>
        <v>1.03549</v>
      </c>
      <c r="O82" s="18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15.75" customHeight="1">
      <c r="A83" s="13" t="s">
        <v>64</v>
      </c>
      <c r="B83" s="14">
        <v>1.0</v>
      </c>
      <c r="C83" s="13" t="s">
        <v>100</v>
      </c>
      <c r="D83" s="13" t="s">
        <v>101</v>
      </c>
      <c r="E83" s="13" t="s">
        <v>13</v>
      </c>
      <c r="F83" s="13" t="s">
        <v>102</v>
      </c>
      <c r="G83" s="12"/>
      <c r="H83" s="19">
        <v>1.91</v>
      </c>
      <c r="I83" s="19">
        <v>1.03549</v>
      </c>
      <c r="J83" s="10" t="s">
        <v>441</v>
      </c>
      <c r="K83" s="10" t="s">
        <v>441</v>
      </c>
      <c r="L83" s="21" t="s">
        <v>503</v>
      </c>
      <c r="M83" s="17">
        <f t="shared" si="3"/>
        <v>1.91</v>
      </c>
      <c r="N83" s="17">
        <f t="shared" si="2"/>
        <v>1.03549</v>
      </c>
      <c r="O83" s="18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15.75" customHeight="1">
      <c r="A84" s="13" t="s">
        <v>51</v>
      </c>
      <c r="B84" s="14">
        <v>1.0</v>
      </c>
      <c r="C84" s="13" t="s">
        <v>104</v>
      </c>
      <c r="D84" s="13" t="s">
        <v>105</v>
      </c>
      <c r="E84" s="13" t="s">
        <v>13</v>
      </c>
      <c r="F84" s="13" t="s">
        <v>106</v>
      </c>
      <c r="G84" s="12"/>
      <c r="H84" s="19">
        <v>1.03</v>
      </c>
      <c r="I84" s="19">
        <v>0.55567</v>
      </c>
      <c r="J84" s="10" t="s">
        <v>441</v>
      </c>
      <c r="K84" s="10" t="s">
        <v>441</v>
      </c>
      <c r="L84" s="21" t="s">
        <v>504</v>
      </c>
      <c r="M84" s="17">
        <f t="shared" si="3"/>
        <v>1.03</v>
      </c>
      <c r="N84" s="17">
        <f t="shared" si="2"/>
        <v>0.55567</v>
      </c>
      <c r="O84" s="18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15.75" customHeight="1">
      <c r="A85" s="13" t="s">
        <v>10</v>
      </c>
      <c r="B85" s="14">
        <v>2.0</v>
      </c>
      <c r="C85" s="13" t="s">
        <v>104</v>
      </c>
      <c r="D85" s="13" t="s">
        <v>105</v>
      </c>
      <c r="E85" s="13" t="s">
        <v>13</v>
      </c>
      <c r="F85" s="13" t="s">
        <v>106</v>
      </c>
      <c r="G85" s="12"/>
      <c r="H85" s="19">
        <v>1.03</v>
      </c>
      <c r="I85" s="19">
        <v>0.55567</v>
      </c>
      <c r="J85" s="10" t="s">
        <v>441</v>
      </c>
      <c r="K85" s="10" t="s">
        <v>441</v>
      </c>
      <c r="L85" s="21" t="s">
        <v>505</v>
      </c>
      <c r="M85" s="17">
        <f t="shared" si="3"/>
        <v>2.06</v>
      </c>
      <c r="N85" s="17">
        <f t="shared" si="2"/>
        <v>1.11134</v>
      </c>
      <c r="O85" s="18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15.75" customHeight="1">
      <c r="A86" s="13" t="s">
        <v>15</v>
      </c>
      <c r="B86" s="14">
        <v>1.0</v>
      </c>
      <c r="C86" s="13" t="s">
        <v>104</v>
      </c>
      <c r="D86" s="13" t="s">
        <v>105</v>
      </c>
      <c r="E86" s="13" t="s">
        <v>13</v>
      </c>
      <c r="F86" s="13" t="s">
        <v>106</v>
      </c>
      <c r="G86" s="12"/>
      <c r="H86" s="19">
        <v>1.03</v>
      </c>
      <c r="I86" s="19">
        <v>0.55567</v>
      </c>
      <c r="J86" s="10" t="s">
        <v>441</v>
      </c>
      <c r="K86" s="10" t="s">
        <v>441</v>
      </c>
      <c r="L86" s="21" t="s">
        <v>506</v>
      </c>
      <c r="M86" s="17">
        <f t="shared" si="3"/>
        <v>1.03</v>
      </c>
      <c r="N86" s="17">
        <f t="shared" si="2"/>
        <v>0.55567</v>
      </c>
      <c r="O86" s="18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15.75" customHeight="1">
      <c r="A87" s="13" t="s">
        <v>16</v>
      </c>
      <c r="B87" s="14">
        <v>1.0</v>
      </c>
      <c r="C87" s="13" t="s">
        <v>104</v>
      </c>
      <c r="D87" s="13" t="s">
        <v>105</v>
      </c>
      <c r="E87" s="13" t="s">
        <v>13</v>
      </c>
      <c r="F87" s="13" t="s">
        <v>106</v>
      </c>
      <c r="G87" s="12"/>
      <c r="H87" s="19">
        <v>1.03</v>
      </c>
      <c r="I87" s="19">
        <v>0.55567</v>
      </c>
      <c r="J87" s="10" t="s">
        <v>441</v>
      </c>
      <c r="K87" s="10" t="s">
        <v>441</v>
      </c>
      <c r="L87" s="21" t="s">
        <v>507</v>
      </c>
      <c r="M87" s="17">
        <f t="shared" si="3"/>
        <v>1.03</v>
      </c>
      <c r="N87" s="17">
        <f t="shared" si="2"/>
        <v>0.55567</v>
      </c>
      <c r="O87" s="18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15.75" customHeight="1">
      <c r="A88" s="13" t="s">
        <v>17</v>
      </c>
      <c r="B88" s="14">
        <v>1.0</v>
      </c>
      <c r="C88" s="13" t="s">
        <v>104</v>
      </c>
      <c r="D88" s="13" t="s">
        <v>105</v>
      </c>
      <c r="E88" s="13" t="s">
        <v>13</v>
      </c>
      <c r="F88" s="13" t="s">
        <v>106</v>
      </c>
      <c r="G88" s="12"/>
      <c r="H88" s="19">
        <v>1.03</v>
      </c>
      <c r="I88" s="19">
        <v>0.55567</v>
      </c>
      <c r="J88" s="10" t="s">
        <v>441</v>
      </c>
      <c r="K88" s="10" t="s">
        <v>441</v>
      </c>
      <c r="L88" s="21" t="s">
        <v>508</v>
      </c>
      <c r="M88" s="17">
        <f t="shared" si="3"/>
        <v>1.03</v>
      </c>
      <c r="N88" s="17">
        <f t="shared" si="2"/>
        <v>0.55567</v>
      </c>
      <c r="O88" s="18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15.75" customHeight="1">
      <c r="A89" s="13" t="s">
        <v>43</v>
      </c>
      <c r="B89" s="14">
        <v>1.0</v>
      </c>
      <c r="C89" s="13" t="s">
        <v>104</v>
      </c>
      <c r="D89" s="13" t="s">
        <v>105</v>
      </c>
      <c r="E89" s="13" t="s">
        <v>13</v>
      </c>
      <c r="F89" s="13" t="s">
        <v>106</v>
      </c>
      <c r="G89" s="12"/>
      <c r="H89" s="19">
        <v>1.03</v>
      </c>
      <c r="I89" s="19">
        <v>0.55567</v>
      </c>
      <c r="J89" s="10" t="s">
        <v>441</v>
      </c>
      <c r="K89" s="10" t="s">
        <v>441</v>
      </c>
      <c r="L89" s="21" t="s">
        <v>509</v>
      </c>
      <c r="M89" s="17">
        <f t="shared" si="3"/>
        <v>1.03</v>
      </c>
      <c r="N89" s="17">
        <f t="shared" si="2"/>
        <v>0.55567</v>
      </c>
      <c r="O89" s="18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15.75" customHeight="1">
      <c r="A90" s="13" t="s">
        <v>44</v>
      </c>
      <c r="B90" s="14">
        <v>1.0</v>
      </c>
      <c r="C90" s="13" t="s">
        <v>104</v>
      </c>
      <c r="D90" s="13" t="s">
        <v>105</v>
      </c>
      <c r="E90" s="13" t="s">
        <v>13</v>
      </c>
      <c r="F90" s="13" t="s">
        <v>106</v>
      </c>
      <c r="G90" s="12"/>
      <c r="H90" s="19">
        <v>1.03</v>
      </c>
      <c r="I90" s="19">
        <v>0.55567</v>
      </c>
      <c r="J90" s="10" t="s">
        <v>441</v>
      </c>
      <c r="K90" s="10" t="s">
        <v>441</v>
      </c>
      <c r="L90" s="21" t="s">
        <v>510</v>
      </c>
      <c r="M90" s="17">
        <f t="shared" si="3"/>
        <v>1.03</v>
      </c>
      <c r="N90" s="17">
        <f t="shared" si="2"/>
        <v>0.55567</v>
      </c>
      <c r="O90" s="18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15.75" customHeight="1">
      <c r="A91" s="13" t="s">
        <v>45</v>
      </c>
      <c r="B91" s="14">
        <v>1.0</v>
      </c>
      <c r="C91" s="13" t="s">
        <v>104</v>
      </c>
      <c r="D91" s="13" t="s">
        <v>105</v>
      </c>
      <c r="E91" s="13" t="s">
        <v>13</v>
      </c>
      <c r="F91" s="13" t="s">
        <v>106</v>
      </c>
      <c r="G91" s="12"/>
      <c r="H91" s="19">
        <v>1.03</v>
      </c>
      <c r="I91" s="19">
        <v>0.55567</v>
      </c>
      <c r="J91" s="10" t="s">
        <v>441</v>
      </c>
      <c r="K91" s="10" t="s">
        <v>441</v>
      </c>
      <c r="L91" s="21" t="s">
        <v>511</v>
      </c>
      <c r="M91" s="17">
        <f t="shared" si="3"/>
        <v>1.03</v>
      </c>
      <c r="N91" s="17">
        <f t="shared" si="2"/>
        <v>0.55567</v>
      </c>
      <c r="O91" s="18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15.75" customHeight="1">
      <c r="A92" s="13" t="s">
        <v>46</v>
      </c>
      <c r="B92" s="14">
        <v>1.0</v>
      </c>
      <c r="C92" s="13" t="s">
        <v>104</v>
      </c>
      <c r="D92" s="13" t="s">
        <v>105</v>
      </c>
      <c r="E92" s="13" t="s">
        <v>13</v>
      </c>
      <c r="F92" s="13" t="s">
        <v>106</v>
      </c>
      <c r="G92" s="12"/>
      <c r="H92" s="19">
        <v>1.03</v>
      </c>
      <c r="I92" s="19">
        <v>0.55567</v>
      </c>
      <c r="J92" s="10" t="s">
        <v>441</v>
      </c>
      <c r="K92" s="10" t="s">
        <v>441</v>
      </c>
      <c r="L92" s="21" t="s">
        <v>512</v>
      </c>
      <c r="M92" s="17">
        <f t="shared" si="3"/>
        <v>1.03</v>
      </c>
      <c r="N92" s="17">
        <f t="shared" si="2"/>
        <v>0.55567</v>
      </c>
      <c r="O92" s="18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15.75" customHeight="1">
      <c r="A93" s="13" t="s">
        <v>27</v>
      </c>
      <c r="B93" s="14">
        <v>1.0</v>
      </c>
      <c r="C93" s="13" t="s">
        <v>104</v>
      </c>
      <c r="D93" s="13" t="s">
        <v>105</v>
      </c>
      <c r="E93" s="13" t="s">
        <v>13</v>
      </c>
      <c r="F93" s="13" t="s">
        <v>106</v>
      </c>
      <c r="G93" s="12"/>
      <c r="H93" s="19">
        <v>1.03</v>
      </c>
      <c r="I93" s="19">
        <v>0.55567</v>
      </c>
      <c r="J93" s="10" t="s">
        <v>441</v>
      </c>
      <c r="K93" s="10" t="s">
        <v>441</v>
      </c>
      <c r="L93" s="21" t="s">
        <v>513</v>
      </c>
      <c r="M93" s="17">
        <f t="shared" si="3"/>
        <v>1.03</v>
      </c>
      <c r="N93" s="17">
        <f t="shared" si="2"/>
        <v>0.55567</v>
      </c>
      <c r="O93" s="18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15.75" customHeight="1">
      <c r="A94" s="13" t="s">
        <v>77</v>
      </c>
      <c r="B94" s="14">
        <v>1.0</v>
      </c>
      <c r="C94" s="13" t="s">
        <v>104</v>
      </c>
      <c r="D94" s="13" t="s">
        <v>105</v>
      </c>
      <c r="E94" s="13" t="s">
        <v>13</v>
      </c>
      <c r="F94" s="13" t="s">
        <v>106</v>
      </c>
      <c r="G94" s="12"/>
      <c r="H94" s="19">
        <v>1.03</v>
      </c>
      <c r="I94" s="19">
        <v>0.55567</v>
      </c>
      <c r="J94" s="10" t="s">
        <v>441</v>
      </c>
      <c r="K94" s="10" t="s">
        <v>441</v>
      </c>
      <c r="L94" s="21" t="s">
        <v>514</v>
      </c>
      <c r="M94" s="17">
        <f t="shared" si="3"/>
        <v>1.03</v>
      </c>
      <c r="N94" s="17">
        <f t="shared" si="2"/>
        <v>0.55567</v>
      </c>
      <c r="O94" s="18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15.75" customHeight="1">
      <c r="A95" s="13" t="s">
        <v>31</v>
      </c>
      <c r="B95" s="14">
        <v>1.0</v>
      </c>
      <c r="C95" s="13" t="s">
        <v>104</v>
      </c>
      <c r="D95" s="13" t="s">
        <v>105</v>
      </c>
      <c r="E95" s="13" t="s">
        <v>13</v>
      </c>
      <c r="F95" s="13" t="s">
        <v>106</v>
      </c>
      <c r="G95" s="12"/>
      <c r="H95" s="19">
        <v>1.03</v>
      </c>
      <c r="I95" s="19">
        <v>0.55567</v>
      </c>
      <c r="J95" s="10" t="s">
        <v>441</v>
      </c>
      <c r="K95" s="10" t="s">
        <v>441</v>
      </c>
      <c r="L95" s="21" t="s">
        <v>515</v>
      </c>
      <c r="M95" s="17">
        <f t="shared" si="3"/>
        <v>1.03</v>
      </c>
      <c r="N95" s="17">
        <f t="shared" si="2"/>
        <v>0.55567</v>
      </c>
      <c r="O95" s="18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15.75" customHeight="1">
      <c r="A96" s="13" t="s">
        <v>92</v>
      </c>
      <c r="B96" s="14">
        <v>1.0</v>
      </c>
      <c r="C96" s="13" t="s">
        <v>104</v>
      </c>
      <c r="D96" s="13" t="s">
        <v>105</v>
      </c>
      <c r="E96" s="13" t="s">
        <v>13</v>
      </c>
      <c r="F96" s="13" t="s">
        <v>106</v>
      </c>
      <c r="G96" s="12"/>
      <c r="H96" s="19">
        <v>1.03</v>
      </c>
      <c r="I96" s="19">
        <v>0.55567</v>
      </c>
      <c r="J96" s="10" t="s">
        <v>441</v>
      </c>
      <c r="K96" s="10" t="s">
        <v>441</v>
      </c>
      <c r="L96" s="21" t="s">
        <v>516</v>
      </c>
      <c r="M96" s="17">
        <f t="shared" si="3"/>
        <v>1.03</v>
      </c>
      <c r="N96" s="17">
        <f t="shared" si="2"/>
        <v>0.55567</v>
      </c>
      <c r="O96" s="18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15.75" customHeight="1">
      <c r="A97" s="13" t="s">
        <v>80</v>
      </c>
      <c r="B97" s="14">
        <v>1.0</v>
      </c>
      <c r="C97" s="13" t="s">
        <v>104</v>
      </c>
      <c r="D97" s="13" t="s">
        <v>105</v>
      </c>
      <c r="E97" s="13" t="s">
        <v>13</v>
      </c>
      <c r="F97" s="13" t="s">
        <v>106</v>
      </c>
      <c r="G97" s="12"/>
      <c r="H97" s="19">
        <v>1.03</v>
      </c>
      <c r="I97" s="19">
        <v>0.55567</v>
      </c>
      <c r="J97" s="10" t="s">
        <v>441</v>
      </c>
      <c r="K97" s="10" t="s">
        <v>441</v>
      </c>
      <c r="L97" s="21" t="s">
        <v>517</v>
      </c>
      <c r="M97" s="17">
        <f t="shared" si="3"/>
        <v>1.03</v>
      </c>
      <c r="N97" s="17">
        <f t="shared" si="2"/>
        <v>0.55567</v>
      </c>
      <c r="O97" s="18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15.75" customHeight="1">
      <c r="A98" s="13" t="s">
        <v>26</v>
      </c>
      <c r="B98" s="14">
        <v>1.0</v>
      </c>
      <c r="C98" s="13" t="s">
        <v>104</v>
      </c>
      <c r="D98" s="13" t="s">
        <v>105</v>
      </c>
      <c r="E98" s="13" t="s">
        <v>13</v>
      </c>
      <c r="F98" s="13" t="s">
        <v>106</v>
      </c>
      <c r="G98" s="12"/>
      <c r="H98" s="19">
        <v>1.03</v>
      </c>
      <c r="I98" s="19">
        <v>0.55567</v>
      </c>
      <c r="J98" s="10" t="s">
        <v>441</v>
      </c>
      <c r="K98" s="10" t="s">
        <v>441</v>
      </c>
      <c r="L98" s="21" t="s">
        <v>518</v>
      </c>
      <c r="M98" s="17">
        <f t="shared" si="3"/>
        <v>1.03</v>
      </c>
      <c r="N98" s="17">
        <f t="shared" si="2"/>
        <v>0.55567</v>
      </c>
      <c r="O98" s="18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15.75" customHeight="1">
      <c r="A99" s="13" t="s">
        <v>60</v>
      </c>
      <c r="B99" s="14">
        <v>1.0</v>
      </c>
      <c r="C99" s="13" t="s">
        <v>104</v>
      </c>
      <c r="D99" s="13" t="s">
        <v>105</v>
      </c>
      <c r="E99" s="13" t="s">
        <v>13</v>
      </c>
      <c r="F99" s="13" t="s">
        <v>106</v>
      </c>
      <c r="G99" s="12"/>
      <c r="H99" s="19">
        <v>1.03</v>
      </c>
      <c r="I99" s="19">
        <v>0.55567</v>
      </c>
      <c r="J99" s="10" t="s">
        <v>441</v>
      </c>
      <c r="K99" s="10" t="s">
        <v>441</v>
      </c>
      <c r="L99" s="21" t="s">
        <v>519</v>
      </c>
      <c r="M99" s="17">
        <f t="shared" si="3"/>
        <v>1.03</v>
      </c>
      <c r="N99" s="17">
        <f t="shared" si="2"/>
        <v>0.55567</v>
      </c>
      <c r="O99" s="18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15.75" customHeight="1">
      <c r="A100" s="13" t="s">
        <v>54</v>
      </c>
      <c r="B100" s="14">
        <v>1.0</v>
      </c>
      <c r="C100" s="13" t="s">
        <v>104</v>
      </c>
      <c r="D100" s="13" t="s">
        <v>105</v>
      </c>
      <c r="E100" s="13" t="s">
        <v>13</v>
      </c>
      <c r="F100" s="13" t="s">
        <v>106</v>
      </c>
      <c r="G100" s="12"/>
      <c r="H100" s="19">
        <v>1.03</v>
      </c>
      <c r="I100" s="19">
        <v>0.55567</v>
      </c>
      <c r="J100" s="10" t="s">
        <v>441</v>
      </c>
      <c r="K100" s="10" t="s">
        <v>441</v>
      </c>
      <c r="L100" s="21" t="s">
        <v>520</v>
      </c>
      <c r="M100" s="17">
        <f t="shared" si="3"/>
        <v>1.03</v>
      </c>
      <c r="N100" s="17">
        <f t="shared" si="2"/>
        <v>0.55567</v>
      </c>
      <c r="O100" s="18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15.75" customHeight="1">
      <c r="A101" s="13" t="s">
        <v>64</v>
      </c>
      <c r="B101" s="14">
        <v>1.0</v>
      </c>
      <c r="C101" s="13" t="s">
        <v>104</v>
      </c>
      <c r="D101" s="13" t="s">
        <v>105</v>
      </c>
      <c r="E101" s="13" t="s">
        <v>13</v>
      </c>
      <c r="F101" s="13" t="s">
        <v>106</v>
      </c>
      <c r="G101" s="12"/>
      <c r="H101" s="19">
        <v>1.03</v>
      </c>
      <c r="I101" s="19">
        <v>0.55567</v>
      </c>
      <c r="J101" s="10" t="s">
        <v>441</v>
      </c>
      <c r="K101" s="10" t="s">
        <v>441</v>
      </c>
      <c r="L101" s="21" t="s">
        <v>521</v>
      </c>
      <c r="M101" s="17">
        <f t="shared" si="3"/>
        <v>1.03</v>
      </c>
      <c r="N101" s="17">
        <f t="shared" si="2"/>
        <v>0.55567</v>
      </c>
      <c r="O101" s="18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15.75" customHeight="1">
      <c r="A102" s="16" t="s">
        <v>103</v>
      </c>
      <c r="B102" s="14">
        <v>1.0</v>
      </c>
      <c r="C102" s="13" t="s">
        <v>23</v>
      </c>
      <c r="D102" s="13" t="s">
        <v>107</v>
      </c>
      <c r="E102" s="22"/>
      <c r="F102" s="16" t="s">
        <v>108</v>
      </c>
      <c r="G102" s="12"/>
      <c r="H102" s="19">
        <v>1.46</v>
      </c>
      <c r="I102" s="19">
        <v>0.79218</v>
      </c>
      <c r="J102" s="10" t="s">
        <v>441</v>
      </c>
      <c r="K102" s="10" t="s">
        <v>441</v>
      </c>
      <c r="L102" s="21" t="s">
        <v>522</v>
      </c>
      <c r="M102" s="17">
        <f t="shared" si="3"/>
        <v>1.46</v>
      </c>
      <c r="N102" s="17">
        <f t="shared" si="2"/>
        <v>0.79218</v>
      </c>
      <c r="O102" s="18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15.75" customHeight="1">
      <c r="A103" s="16" t="s">
        <v>103</v>
      </c>
      <c r="B103" s="14">
        <v>2.0</v>
      </c>
      <c r="C103" s="13" t="s">
        <v>109</v>
      </c>
      <c r="D103" s="13" t="s">
        <v>110</v>
      </c>
      <c r="E103" s="15"/>
      <c r="F103" s="16" t="s">
        <v>111</v>
      </c>
      <c r="G103" s="12"/>
      <c r="H103" s="19">
        <v>1.35</v>
      </c>
      <c r="I103" s="19">
        <v>0.72898</v>
      </c>
      <c r="J103" s="10" t="s">
        <v>441</v>
      </c>
      <c r="K103" s="10" t="s">
        <v>441</v>
      </c>
      <c r="L103" s="21" t="s">
        <v>523</v>
      </c>
      <c r="M103" s="17">
        <f t="shared" si="3"/>
        <v>2.7</v>
      </c>
      <c r="N103" s="17">
        <f t="shared" si="2"/>
        <v>1.45796</v>
      </c>
      <c r="O103" s="18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15.75" customHeight="1">
      <c r="A104" s="16" t="s">
        <v>103</v>
      </c>
      <c r="B104" s="14">
        <v>1.0</v>
      </c>
      <c r="C104" s="13" t="s">
        <v>112</v>
      </c>
      <c r="D104" s="13" t="s">
        <v>113</v>
      </c>
      <c r="E104" s="15"/>
      <c r="F104" s="16" t="s">
        <v>114</v>
      </c>
      <c r="G104" s="12"/>
      <c r="H104" s="19">
        <v>20.52</v>
      </c>
      <c r="I104" s="19">
        <v>15.735</v>
      </c>
      <c r="J104" s="10" t="s">
        <v>441</v>
      </c>
      <c r="K104" s="10" t="s">
        <v>441</v>
      </c>
      <c r="L104" s="21" t="s">
        <v>524</v>
      </c>
      <c r="M104" s="17">
        <f t="shared" si="3"/>
        <v>20.52</v>
      </c>
      <c r="N104" s="17">
        <f t="shared" si="2"/>
        <v>15.735</v>
      </c>
      <c r="O104" s="18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15.75" customHeight="1">
      <c r="A105" s="13" t="s">
        <v>115</v>
      </c>
      <c r="B105" s="14">
        <v>1.0</v>
      </c>
      <c r="C105" s="13" t="s">
        <v>112</v>
      </c>
      <c r="D105" s="13" t="s">
        <v>113</v>
      </c>
      <c r="E105" s="15"/>
      <c r="F105" s="16" t="s">
        <v>114</v>
      </c>
      <c r="G105" s="12"/>
      <c r="H105" s="19">
        <v>20.52</v>
      </c>
      <c r="I105" s="19">
        <v>15.735</v>
      </c>
      <c r="J105" s="10" t="s">
        <v>441</v>
      </c>
      <c r="K105" s="10" t="s">
        <v>441</v>
      </c>
      <c r="L105" s="21" t="s">
        <v>525</v>
      </c>
      <c r="M105" s="17">
        <f t="shared" si="3"/>
        <v>20.52</v>
      </c>
      <c r="N105" s="17">
        <f t="shared" si="2"/>
        <v>15.735</v>
      </c>
      <c r="O105" s="18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15.75" customHeight="1">
      <c r="A106" s="13" t="s">
        <v>116</v>
      </c>
      <c r="B106" s="14">
        <v>1.0</v>
      </c>
      <c r="C106" s="13" t="s">
        <v>112</v>
      </c>
      <c r="D106" s="13" t="s">
        <v>113</v>
      </c>
      <c r="E106" s="22"/>
      <c r="F106" s="16" t="s">
        <v>114</v>
      </c>
      <c r="G106" s="12"/>
      <c r="H106" s="19">
        <v>20.52</v>
      </c>
      <c r="I106" s="19">
        <v>15.735</v>
      </c>
      <c r="J106" s="10" t="s">
        <v>441</v>
      </c>
      <c r="K106" s="10" t="s">
        <v>441</v>
      </c>
      <c r="L106" s="21" t="s">
        <v>526</v>
      </c>
      <c r="M106" s="17">
        <f t="shared" si="3"/>
        <v>20.52</v>
      </c>
      <c r="N106" s="17">
        <f t="shared" si="2"/>
        <v>15.735</v>
      </c>
      <c r="O106" s="18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15.75" customHeight="1">
      <c r="A107" s="16" t="s">
        <v>117</v>
      </c>
      <c r="B107" s="14">
        <v>1.0</v>
      </c>
      <c r="C107" s="13" t="s">
        <v>118</v>
      </c>
      <c r="D107" s="13" t="s">
        <v>119</v>
      </c>
      <c r="E107" s="13" t="s">
        <v>120</v>
      </c>
      <c r="F107" s="16" t="s">
        <v>121</v>
      </c>
      <c r="G107" s="12"/>
      <c r="H107" s="19">
        <v>42.14</v>
      </c>
      <c r="I107" s="19">
        <v>30.46852</v>
      </c>
      <c r="J107" s="10" t="s">
        <v>441</v>
      </c>
      <c r="K107" s="10" t="s">
        <v>441</v>
      </c>
      <c r="L107" s="21" t="s">
        <v>527</v>
      </c>
      <c r="M107" s="17">
        <f t="shared" si="3"/>
        <v>42.14</v>
      </c>
      <c r="N107" s="17">
        <f t="shared" si="2"/>
        <v>30.46852</v>
      </c>
      <c r="O107" s="18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15.75" customHeight="1">
      <c r="A108" s="16" t="s">
        <v>122</v>
      </c>
      <c r="B108" s="14">
        <v>1.0</v>
      </c>
      <c r="C108" s="13" t="s">
        <v>118</v>
      </c>
      <c r="D108" s="13" t="s">
        <v>119</v>
      </c>
      <c r="E108" s="13" t="s">
        <v>120</v>
      </c>
      <c r="F108" s="16" t="s">
        <v>121</v>
      </c>
      <c r="G108" s="12"/>
      <c r="H108" s="19">
        <v>42.14</v>
      </c>
      <c r="I108" s="19">
        <v>30.46852</v>
      </c>
      <c r="J108" s="10" t="s">
        <v>441</v>
      </c>
      <c r="K108" s="10" t="s">
        <v>441</v>
      </c>
      <c r="L108" s="21" t="s">
        <v>528</v>
      </c>
      <c r="M108" s="17">
        <f t="shared" si="3"/>
        <v>42.14</v>
      </c>
      <c r="N108" s="17">
        <f t="shared" si="2"/>
        <v>30.46852</v>
      </c>
      <c r="O108" s="18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15.75" customHeight="1">
      <c r="A109" s="16" t="s">
        <v>123</v>
      </c>
      <c r="B109" s="14">
        <v>1.0</v>
      </c>
      <c r="C109" s="13" t="s">
        <v>118</v>
      </c>
      <c r="D109" s="13" t="s">
        <v>119</v>
      </c>
      <c r="E109" s="13" t="s">
        <v>120</v>
      </c>
      <c r="F109" s="16" t="s">
        <v>121</v>
      </c>
      <c r="G109" s="12"/>
      <c r="H109" s="19">
        <v>42.14</v>
      </c>
      <c r="I109" s="19">
        <v>30.46852</v>
      </c>
      <c r="J109" s="10" t="s">
        <v>441</v>
      </c>
      <c r="K109" s="10" t="s">
        <v>441</v>
      </c>
      <c r="L109" s="21" t="s">
        <v>529</v>
      </c>
      <c r="M109" s="17">
        <f t="shared" si="3"/>
        <v>42.14</v>
      </c>
      <c r="N109" s="17">
        <f t="shared" si="2"/>
        <v>30.46852</v>
      </c>
      <c r="O109" s="18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15.75" customHeight="1">
      <c r="A110" s="16" t="s">
        <v>124</v>
      </c>
      <c r="B110" s="14">
        <v>1.0</v>
      </c>
      <c r="C110" s="13" t="s">
        <v>118</v>
      </c>
      <c r="D110" s="13" t="s">
        <v>119</v>
      </c>
      <c r="E110" s="13" t="s">
        <v>120</v>
      </c>
      <c r="F110" s="16" t="s">
        <v>121</v>
      </c>
      <c r="G110" s="12"/>
      <c r="H110" s="19">
        <v>42.14</v>
      </c>
      <c r="I110" s="19">
        <v>30.46852</v>
      </c>
      <c r="J110" s="10" t="s">
        <v>441</v>
      </c>
      <c r="K110" s="10" t="s">
        <v>441</v>
      </c>
      <c r="L110" s="21" t="s">
        <v>530</v>
      </c>
      <c r="M110" s="17">
        <f t="shared" si="3"/>
        <v>42.14</v>
      </c>
      <c r="N110" s="17">
        <f t="shared" si="2"/>
        <v>30.46852</v>
      </c>
      <c r="O110" s="18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15.75" customHeight="1">
      <c r="A111" s="16" t="s">
        <v>125</v>
      </c>
      <c r="B111" s="14">
        <v>1.0</v>
      </c>
      <c r="C111" s="13" t="s">
        <v>126</v>
      </c>
      <c r="D111" s="13" t="s">
        <v>127</v>
      </c>
      <c r="E111" s="13" t="s">
        <v>120</v>
      </c>
      <c r="F111" s="16" t="s">
        <v>128</v>
      </c>
      <c r="G111" s="12"/>
      <c r="H111" s="19">
        <v>78.57</v>
      </c>
      <c r="I111" s="19">
        <v>59.9506</v>
      </c>
      <c r="J111" s="10" t="s">
        <v>441</v>
      </c>
      <c r="K111" s="10" t="s">
        <v>441</v>
      </c>
      <c r="L111" s="21" t="s">
        <v>531</v>
      </c>
      <c r="M111" s="17">
        <f t="shared" si="3"/>
        <v>78.57</v>
      </c>
      <c r="N111" s="17">
        <f t="shared" si="2"/>
        <v>59.9506</v>
      </c>
      <c r="O111" s="18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15.75" customHeight="1">
      <c r="A112" s="16" t="s">
        <v>123</v>
      </c>
      <c r="B112" s="14">
        <v>1.0</v>
      </c>
      <c r="C112" s="13" t="s">
        <v>129</v>
      </c>
      <c r="D112" s="13" t="s">
        <v>130</v>
      </c>
      <c r="E112" s="13" t="s">
        <v>120</v>
      </c>
      <c r="F112" s="16" t="s">
        <v>131</v>
      </c>
      <c r="G112" s="12"/>
      <c r="H112" s="19">
        <v>94.15</v>
      </c>
      <c r="I112" s="19">
        <v>71.8399</v>
      </c>
      <c r="J112" s="10" t="s">
        <v>441</v>
      </c>
      <c r="K112" s="10" t="s">
        <v>441</v>
      </c>
      <c r="L112" s="21" t="s">
        <v>532</v>
      </c>
      <c r="M112" s="17">
        <f t="shared" si="3"/>
        <v>94.15</v>
      </c>
      <c r="N112" s="17">
        <f t="shared" si="2"/>
        <v>71.8399</v>
      </c>
      <c r="O112" s="18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15.75" customHeight="1">
      <c r="A113" s="16" t="s">
        <v>124</v>
      </c>
      <c r="B113" s="14">
        <v>1.0</v>
      </c>
      <c r="C113" s="13" t="s">
        <v>129</v>
      </c>
      <c r="D113" s="13" t="s">
        <v>130</v>
      </c>
      <c r="E113" s="13" t="s">
        <v>120</v>
      </c>
      <c r="F113" s="16" t="s">
        <v>131</v>
      </c>
      <c r="G113" s="12"/>
      <c r="H113" s="19">
        <v>94.15</v>
      </c>
      <c r="I113" s="19">
        <v>71.8399</v>
      </c>
      <c r="J113" s="10" t="s">
        <v>441</v>
      </c>
      <c r="K113" s="10" t="s">
        <v>441</v>
      </c>
      <c r="L113" s="21" t="s">
        <v>533</v>
      </c>
      <c r="M113" s="17">
        <f t="shared" si="3"/>
        <v>94.15</v>
      </c>
      <c r="N113" s="17">
        <f t="shared" si="2"/>
        <v>71.8399</v>
      </c>
      <c r="O113" s="18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15.75" customHeight="1">
      <c r="A114" s="16" t="s">
        <v>117</v>
      </c>
      <c r="B114" s="14">
        <v>1.0</v>
      </c>
      <c r="C114" s="13" t="s">
        <v>132</v>
      </c>
      <c r="D114" s="13" t="s">
        <v>133</v>
      </c>
      <c r="E114" s="13" t="s">
        <v>120</v>
      </c>
      <c r="F114" s="16" t="s">
        <v>134</v>
      </c>
      <c r="G114" s="12"/>
      <c r="H114" s="19">
        <v>200.72</v>
      </c>
      <c r="I114" s="19">
        <v>159.5156</v>
      </c>
      <c r="J114" s="10" t="s">
        <v>441</v>
      </c>
      <c r="K114" s="10" t="s">
        <v>441</v>
      </c>
      <c r="L114" s="21" t="s">
        <v>534</v>
      </c>
      <c r="M114" s="17">
        <f t="shared" si="3"/>
        <v>200.72</v>
      </c>
      <c r="N114" s="17">
        <f t="shared" si="2"/>
        <v>159.5156</v>
      </c>
      <c r="O114" s="18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15.75" customHeight="1">
      <c r="A115" s="16" t="s">
        <v>122</v>
      </c>
      <c r="B115" s="14">
        <v>1.0</v>
      </c>
      <c r="C115" s="13" t="s">
        <v>132</v>
      </c>
      <c r="D115" s="13" t="s">
        <v>133</v>
      </c>
      <c r="E115" s="13" t="s">
        <v>120</v>
      </c>
      <c r="F115" s="16" t="s">
        <v>134</v>
      </c>
      <c r="G115" s="12"/>
      <c r="H115" s="19">
        <v>200.72</v>
      </c>
      <c r="I115" s="19">
        <v>159.5156</v>
      </c>
      <c r="J115" s="10" t="s">
        <v>441</v>
      </c>
      <c r="K115" s="10" t="s">
        <v>441</v>
      </c>
      <c r="L115" s="21" t="s">
        <v>535</v>
      </c>
      <c r="M115" s="17">
        <f t="shared" si="3"/>
        <v>200.72</v>
      </c>
      <c r="N115" s="17">
        <f t="shared" si="2"/>
        <v>159.5156</v>
      </c>
      <c r="O115" s="18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15.75" customHeight="1">
      <c r="A116" s="13" t="s">
        <v>117</v>
      </c>
      <c r="B116" s="14">
        <v>1.0</v>
      </c>
      <c r="C116" s="13" t="s">
        <v>135</v>
      </c>
      <c r="D116" s="13" t="s">
        <v>136</v>
      </c>
      <c r="E116" s="13" t="s">
        <v>120</v>
      </c>
      <c r="F116" s="16" t="s">
        <v>137</v>
      </c>
      <c r="G116" s="12"/>
      <c r="H116" s="19">
        <v>21.78</v>
      </c>
      <c r="I116" s="19">
        <v>15.1192</v>
      </c>
      <c r="J116" s="10" t="s">
        <v>441</v>
      </c>
      <c r="K116" s="10" t="s">
        <v>441</v>
      </c>
      <c r="L116" s="21" t="s">
        <v>536</v>
      </c>
      <c r="M116" s="17">
        <f t="shared" si="3"/>
        <v>21.78</v>
      </c>
      <c r="N116" s="17">
        <f t="shared" si="2"/>
        <v>15.1192</v>
      </c>
      <c r="O116" s="18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15.75" customHeight="1">
      <c r="A117" s="13" t="s">
        <v>122</v>
      </c>
      <c r="B117" s="14">
        <v>1.0</v>
      </c>
      <c r="C117" s="13" t="s">
        <v>135</v>
      </c>
      <c r="D117" s="13" t="s">
        <v>136</v>
      </c>
      <c r="E117" s="13" t="s">
        <v>120</v>
      </c>
      <c r="F117" s="16" t="s">
        <v>137</v>
      </c>
      <c r="G117" s="12"/>
      <c r="H117" s="19">
        <v>21.78</v>
      </c>
      <c r="I117" s="19">
        <v>15.1192</v>
      </c>
      <c r="J117" s="10" t="s">
        <v>441</v>
      </c>
      <c r="K117" s="10" t="s">
        <v>441</v>
      </c>
      <c r="L117" s="21" t="s">
        <v>537</v>
      </c>
      <c r="M117" s="17">
        <f t="shared" si="3"/>
        <v>21.78</v>
      </c>
      <c r="N117" s="17">
        <f t="shared" si="2"/>
        <v>15.1192</v>
      </c>
      <c r="O117" s="18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15.75" customHeight="1">
      <c r="A118" s="13" t="s">
        <v>123</v>
      </c>
      <c r="B118" s="14">
        <v>1.0</v>
      </c>
      <c r="C118" s="13" t="s">
        <v>135</v>
      </c>
      <c r="D118" s="13" t="s">
        <v>136</v>
      </c>
      <c r="E118" s="13" t="s">
        <v>120</v>
      </c>
      <c r="F118" s="16" t="s">
        <v>137</v>
      </c>
      <c r="G118" s="12"/>
      <c r="H118" s="19">
        <v>21.78</v>
      </c>
      <c r="I118" s="19">
        <v>15.1192</v>
      </c>
      <c r="J118" s="10" t="s">
        <v>441</v>
      </c>
      <c r="K118" s="10" t="s">
        <v>441</v>
      </c>
      <c r="L118" s="21" t="s">
        <v>538</v>
      </c>
      <c r="M118" s="17">
        <f t="shared" si="3"/>
        <v>21.78</v>
      </c>
      <c r="N118" s="17">
        <f t="shared" si="2"/>
        <v>15.1192</v>
      </c>
      <c r="O118" s="18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15.75" customHeight="1">
      <c r="A119" s="13" t="s">
        <v>124</v>
      </c>
      <c r="B119" s="14">
        <v>1.0</v>
      </c>
      <c r="C119" s="13" t="s">
        <v>135</v>
      </c>
      <c r="D119" s="13" t="s">
        <v>136</v>
      </c>
      <c r="E119" s="13" t="s">
        <v>120</v>
      </c>
      <c r="F119" s="16" t="s">
        <v>137</v>
      </c>
      <c r="G119" s="12"/>
      <c r="H119" s="19">
        <v>21.78</v>
      </c>
      <c r="I119" s="19">
        <v>15.1192</v>
      </c>
      <c r="J119" s="10" t="s">
        <v>441</v>
      </c>
      <c r="K119" s="10" t="s">
        <v>441</v>
      </c>
      <c r="L119" s="21" t="s">
        <v>539</v>
      </c>
      <c r="M119" s="17">
        <f t="shared" si="3"/>
        <v>21.78</v>
      </c>
      <c r="N119" s="17">
        <f t="shared" si="2"/>
        <v>15.1192</v>
      </c>
      <c r="O119" s="18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15.75" customHeight="1">
      <c r="A120" s="13" t="s">
        <v>125</v>
      </c>
      <c r="B120" s="14">
        <v>1.0</v>
      </c>
      <c r="C120" s="13" t="s">
        <v>135</v>
      </c>
      <c r="D120" s="13" t="s">
        <v>136</v>
      </c>
      <c r="E120" s="13" t="s">
        <v>120</v>
      </c>
      <c r="F120" s="16" t="s">
        <v>137</v>
      </c>
      <c r="G120" s="12"/>
      <c r="H120" s="19">
        <v>21.78</v>
      </c>
      <c r="I120" s="19">
        <v>15.1192</v>
      </c>
      <c r="J120" s="10" t="s">
        <v>441</v>
      </c>
      <c r="K120" s="10" t="s">
        <v>441</v>
      </c>
      <c r="L120" s="21" t="s">
        <v>540</v>
      </c>
      <c r="M120" s="17">
        <f t="shared" si="3"/>
        <v>21.78</v>
      </c>
      <c r="N120" s="17">
        <f t="shared" si="2"/>
        <v>15.1192</v>
      </c>
      <c r="O120" s="18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15.75" customHeight="1">
      <c r="A121" s="16" t="s">
        <v>138</v>
      </c>
      <c r="B121" s="14">
        <v>1.0</v>
      </c>
      <c r="C121" s="13" t="s">
        <v>139</v>
      </c>
      <c r="D121" s="13" t="s">
        <v>140</v>
      </c>
      <c r="E121" s="13" t="s">
        <v>120</v>
      </c>
      <c r="F121" s="16" t="s">
        <v>141</v>
      </c>
      <c r="G121" s="12"/>
      <c r="H121" s="19">
        <v>195.59</v>
      </c>
      <c r="I121" s="19">
        <v>162.9936</v>
      </c>
      <c r="J121" s="10" t="s">
        <v>441</v>
      </c>
      <c r="K121" s="10" t="s">
        <v>441</v>
      </c>
      <c r="L121" s="21" t="s">
        <v>541</v>
      </c>
      <c r="M121" s="17">
        <f t="shared" si="3"/>
        <v>195.59</v>
      </c>
      <c r="N121" s="17">
        <f t="shared" si="2"/>
        <v>162.9936</v>
      </c>
      <c r="O121" s="18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15.75" customHeight="1">
      <c r="A122" s="13" t="s">
        <v>142</v>
      </c>
      <c r="B122" s="14">
        <v>1.0</v>
      </c>
      <c r="C122" s="13" t="s">
        <v>143</v>
      </c>
      <c r="D122" s="13" t="s">
        <v>144</v>
      </c>
      <c r="E122" s="13" t="s">
        <v>120</v>
      </c>
      <c r="F122" s="16" t="s">
        <v>145</v>
      </c>
      <c r="G122" s="12"/>
      <c r="H122" s="19">
        <v>250.45</v>
      </c>
      <c r="I122" s="19">
        <v>158.4624</v>
      </c>
      <c r="J122" s="10" t="s">
        <v>441</v>
      </c>
      <c r="K122" s="10" t="s">
        <v>441</v>
      </c>
      <c r="L122" s="21" t="s">
        <v>542</v>
      </c>
      <c r="M122" s="17">
        <f t="shared" si="3"/>
        <v>250.45</v>
      </c>
      <c r="N122" s="17">
        <f t="shared" si="2"/>
        <v>158.4624</v>
      </c>
      <c r="O122" s="18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15.75" customHeight="1">
      <c r="A123" s="13" t="s">
        <v>138</v>
      </c>
      <c r="B123" s="14">
        <v>1.0</v>
      </c>
      <c r="C123" s="13" t="s">
        <v>146</v>
      </c>
      <c r="D123" s="13" t="s">
        <v>147</v>
      </c>
      <c r="E123" s="13" t="s">
        <v>120</v>
      </c>
      <c r="F123" s="16" t="s">
        <v>148</v>
      </c>
      <c r="G123" s="12"/>
      <c r="H123" s="19">
        <v>30.22</v>
      </c>
      <c r="I123" s="19">
        <v>23.76532</v>
      </c>
      <c r="J123" s="10" t="s">
        <v>441</v>
      </c>
      <c r="K123" s="10" t="s">
        <v>441</v>
      </c>
      <c r="L123" s="21" t="s">
        <v>543</v>
      </c>
      <c r="M123" s="17">
        <f t="shared" si="3"/>
        <v>30.22</v>
      </c>
      <c r="N123" s="17">
        <f t="shared" si="2"/>
        <v>23.76532</v>
      </c>
      <c r="O123" s="18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15.75" customHeight="1">
      <c r="A124" s="13" t="s">
        <v>149</v>
      </c>
      <c r="B124" s="14">
        <v>1.0</v>
      </c>
      <c r="C124" s="13" t="s">
        <v>150</v>
      </c>
      <c r="D124" s="13" t="s">
        <v>151</v>
      </c>
      <c r="E124" s="13" t="s">
        <v>152</v>
      </c>
      <c r="F124" s="16" t="s">
        <v>153</v>
      </c>
      <c r="G124" s="12"/>
      <c r="H124" s="19">
        <v>16.81</v>
      </c>
      <c r="I124" s="19">
        <v>11.67066</v>
      </c>
      <c r="J124" s="10" t="s">
        <v>441</v>
      </c>
      <c r="K124" s="10" t="s">
        <v>441</v>
      </c>
      <c r="L124" s="21" t="s">
        <v>544</v>
      </c>
      <c r="M124" s="17">
        <f t="shared" si="3"/>
        <v>16.81</v>
      </c>
      <c r="N124" s="17">
        <f t="shared" si="2"/>
        <v>11.67066</v>
      </c>
      <c r="O124" s="18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15.75" customHeight="1">
      <c r="A125" s="13" t="s">
        <v>154</v>
      </c>
      <c r="B125" s="14">
        <v>1.0</v>
      </c>
      <c r="C125" s="13" t="s">
        <v>150</v>
      </c>
      <c r="D125" s="13" t="s">
        <v>151</v>
      </c>
      <c r="E125" s="13" t="s">
        <v>152</v>
      </c>
      <c r="F125" s="16" t="s">
        <v>153</v>
      </c>
      <c r="G125" s="12"/>
      <c r="H125" s="19">
        <v>16.81</v>
      </c>
      <c r="I125" s="19">
        <v>11.67066</v>
      </c>
      <c r="J125" s="10" t="s">
        <v>441</v>
      </c>
      <c r="K125" s="10" t="s">
        <v>441</v>
      </c>
      <c r="L125" s="21" t="s">
        <v>545</v>
      </c>
      <c r="M125" s="17">
        <f t="shared" si="3"/>
        <v>16.81</v>
      </c>
      <c r="N125" s="17">
        <f t="shared" si="2"/>
        <v>11.67066</v>
      </c>
      <c r="O125" s="18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15.75" customHeight="1">
      <c r="A126" s="13" t="s">
        <v>155</v>
      </c>
      <c r="B126" s="14">
        <v>1.0</v>
      </c>
      <c r="C126" s="13" t="s">
        <v>156</v>
      </c>
      <c r="D126" s="13" t="s">
        <v>157</v>
      </c>
      <c r="E126" s="15"/>
      <c r="F126" s="16" t="s">
        <v>158</v>
      </c>
      <c r="G126" s="12"/>
      <c r="H126" s="19">
        <v>22.0</v>
      </c>
      <c r="I126" s="19">
        <v>21.0</v>
      </c>
      <c r="J126" s="10" t="s">
        <v>441</v>
      </c>
      <c r="K126" s="10" t="s">
        <v>546</v>
      </c>
      <c r="L126" s="21" t="s">
        <v>547</v>
      </c>
      <c r="M126" s="17">
        <f t="shared" si="3"/>
        <v>22</v>
      </c>
      <c r="N126" s="17">
        <f t="shared" si="2"/>
        <v>21</v>
      </c>
      <c r="O126" s="18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15.75" customHeight="1">
      <c r="A127" s="13" t="s">
        <v>159</v>
      </c>
      <c r="B127" s="14">
        <v>1.0</v>
      </c>
      <c r="C127" s="13" t="s">
        <v>160</v>
      </c>
      <c r="D127" s="13" t="s">
        <v>0</v>
      </c>
      <c r="E127" s="13" t="s">
        <v>161</v>
      </c>
      <c r="F127" s="16" t="s">
        <v>162</v>
      </c>
      <c r="G127" s="12"/>
      <c r="H127" s="19">
        <v>800.0</v>
      </c>
      <c r="I127" s="19">
        <v>800.0</v>
      </c>
      <c r="J127" s="10" t="s">
        <v>546</v>
      </c>
      <c r="K127" s="10" t="s">
        <v>546</v>
      </c>
      <c r="L127" s="23"/>
      <c r="M127" s="17">
        <f t="shared" si="3"/>
        <v>800</v>
      </c>
      <c r="N127" s="17">
        <f t="shared" si="2"/>
        <v>800</v>
      </c>
      <c r="O127" s="11" t="s">
        <v>548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15.75" customHeight="1">
      <c r="A128" s="13" t="s">
        <v>163</v>
      </c>
      <c r="B128" s="14">
        <v>1.0</v>
      </c>
      <c r="C128" s="13" t="s">
        <v>164</v>
      </c>
      <c r="D128" s="13" t="s">
        <v>165</v>
      </c>
      <c r="E128" s="15"/>
      <c r="F128" s="16" t="s">
        <v>166</v>
      </c>
      <c r="G128" s="12"/>
      <c r="H128" s="19">
        <v>25.0</v>
      </c>
      <c r="I128" s="19">
        <v>25.0</v>
      </c>
      <c r="J128" s="10" t="s">
        <v>546</v>
      </c>
      <c r="K128" s="12"/>
      <c r="L128" s="24"/>
      <c r="M128" s="17">
        <f t="shared" si="3"/>
        <v>25</v>
      </c>
      <c r="N128" s="17">
        <f t="shared" si="2"/>
        <v>25</v>
      </c>
      <c r="O128" s="11" t="s">
        <v>549</v>
      </c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15.75" customHeight="1">
      <c r="A129" s="13" t="s">
        <v>167</v>
      </c>
      <c r="B129" s="14">
        <v>1.0</v>
      </c>
      <c r="C129" s="13" t="s">
        <v>164</v>
      </c>
      <c r="D129" s="13" t="s">
        <v>165</v>
      </c>
      <c r="E129" s="22"/>
      <c r="F129" s="16" t="s">
        <v>166</v>
      </c>
      <c r="G129" s="12"/>
      <c r="H129" s="19">
        <v>25.0</v>
      </c>
      <c r="I129" s="19">
        <v>25.0</v>
      </c>
      <c r="J129" s="10" t="s">
        <v>546</v>
      </c>
      <c r="K129" s="10" t="s">
        <v>546</v>
      </c>
      <c r="L129" s="24"/>
      <c r="M129" s="17">
        <f t="shared" si="3"/>
        <v>25</v>
      </c>
      <c r="N129" s="17">
        <f t="shared" si="2"/>
        <v>25</v>
      </c>
      <c r="O129" s="18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15.75" customHeight="1">
      <c r="A130" s="13" t="s">
        <v>168</v>
      </c>
      <c r="B130" s="14">
        <v>1.0</v>
      </c>
      <c r="C130" s="13" t="s">
        <v>169</v>
      </c>
      <c r="D130" s="13" t="s">
        <v>170</v>
      </c>
      <c r="E130" s="13" t="s">
        <v>120</v>
      </c>
      <c r="F130" s="16" t="s">
        <v>171</v>
      </c>
      <c r="G130" s="12"/>
      <c r="H130" s="19">
        <v>63.1</v>
      </c>
      <c r="I130" s="19">
        <v>35.3</v>
      </c>
      <c r="J130" s="10" t="s">
        <v>441</v>
      </c>
      <c r="K130" s="10" t="s">
        <v>441</v>
      </c>
      <c r="L130" s="24"/>
      <c r="M130" s="17">
        <f t="shared" si="3"/>
        <v>63.1</v>
      </c>
      <c r="N130" s="17">
        <f t="shared" si="2"/>
        <v>35.3</v>
      </c>
      <c r="O130" s="18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15.75" customHeight="1">
      <c r="A131" s="13" t="s">
        <v>172</v>
      </c>
      <c r="B131" s="14">
        <v>1.0</v>
      </c>
      <c r="C131" s="13" t="s">
        <v>173</v>
      </c>
      <c r="D131" s="13" t="s">
        <v>174</v>
      </c>
      <c r="E131" s="13" t="s">
        <v>120</v>
      </c>
      <c r="F131" s="16" t="s">
        <v>175</v>
      </c>
      <c r="G131" s="12"/>
      <c r="H131" s="19">
        <v>57.25</v>
      </c>
      <c r="I131" s="19">
        <v>31.36248</v>
      </c>
      <c r="J131" s="10" t="s">
        <v>441</v>
      </c>
      <c r="K131" s="10" t="s">
        <v>441</v>
      </c>
      <c r="L131" s="24"/>
      <c r="M131" s="17">
        <f t="shared" si="3"/>
        <v>57.25</v>
      </c>
      <c r="N131" s="17">
        <f t="shared" si="2"/>
        <v>31.36248</v>
      </c>
      <c r="O131" s="18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15.75" customHeight="1">
      <c r="A132" s="13" t="s">
        <v>176</v>
      </c>
      <c r="B132" s="14">
        <v>1.0</v>
      </c>
      <c r="C132" s="13" t="s">
        <v>173</v>
      </c>
      <c r="D132" s="13" t="s">
        <v>174</v>
      </c>
      <c r="E132" s="13" t="s">
        <v>120</v>
      </c>
      <c r="F132" s="16" t="s">
        <v>175</v>
      </c>
      <c r="G132" s="12"/>
      <c r="H132" s="19">
        <v>57.25</v>
      </c>
      <c r="I132" s="19">
        <v>31.36248</v>
      </c>
      <c r="J132" s="10" t="s">
        <v>441</v>
      </c>
      <c r="K132" s="10" t="s">
        <v>441</v>
      </c>
      <c r="L132" s="21" t="s">
        <v>550</v>
      </c>
      <c r="M132" s="17">
        <f t="shared" si="3"/>
        <v>57.25</v>
      </c>
      <c r="N132" s="17">
        <f t="shared" si="2"/>
        <v>31.36248</v>
      </c>
      <c r="O132" s="18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15.75" customHeight="1">
      <c r="A133" s="13" t="s">
        <v>177</v>
      </c>
      <c r="B133" s="14">
        <v>1.0</v>
      </c>
      <c r="C133" s="13" t="s">
        <v>178</v>
      </c>
      <c r="D133" s="13" t="s">
        <v>179</v>
      </c>
      <c r="E133" s="22"/>
      <c r="F133" s="16" t="s">
        <v>180</v>
      </c>
      <c r="G133" s="12"/>
      <c r="H133" s="19">
        <v>67.09</v>
      </c>
      <c r="I133" s="19">
        <v>67.09</v>
      </c>
      <c r="J133" s="10" t="s">
        <v>441</v>
      </c>
      <c r="K133" s="10" t="s">
        <v>441</v>
      </c>
      <c r="L133" s="21" t="s">
        <v>551</v>
      </c>
      <c r="M133" s="17">
        <f t="shared" si="3"/>
        <v>67.09</v>
      </c>
      <c r="N133" s="17">
        <f t="shared" si="2"/>
        <v>67.09</v>
      </c>
      <c r="O133" s="18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15.75" customHeight="1">
      <c r="A134" s="16" t="s">
        <v>163</v>
      </c>
      <c r="B134" s="14">
        <v>1.0</v>
      </c>
      <c r="C134" s="13" t="s">
        <v>181</v>
      </c>
      <c r="D134" s="13" t="s">
        <v>182</v>
      </c>
      <c r="E134" s="13" t="s">
        <v>120</v>
      </c>
      <c r="F134" s="16" t="s">
        <v>183</v>
      </c>
      <c r="G134" s="12"/>
      <c r="H134" s="19">
        <v>67.09</v>
      </c>
      <c r="I134" s="19">
        <v>67.09</v>
      </c>
      <c r="J134" s="10" t="s">
        <v>441</v>
      </c>
      <c r="K134" s="10" t="s">
        <v>441</v>
      </c>
      <c r="L134" s="21" t="s">
        <v>552</v>
      </c>
      <c r="M134" s="17">
        <f t="shared" si="3"/>
        <v>67.09</v>
      </c>
      <c r="N134" s="17">
        <f t="shared" si="2"/>
        <v>67.09</v>
      </c>
      <c r="O134" s="18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15.75" customHeight="1">
      <c r="A135" s="16" t="s">
        <v>167</v>
      </c>
      <c r="B135" s="14">
        <v>1.0</v>
      </c>
      <c r="C135" s="13" t="s">
        <v>181</v>
      </c>
      <c r="D135" s="13" t="s">
        <v>182</v>
      </c>
      <c r="E135" s="13" t="s">
        <v>120</v>
      </c>
      <c r="F135" s="16" t="s">
        <v>183</v>
      </c>
      <c r="G135" s="12"/>
      <c r="H135" s="19">
        <v>67.09</v>
      </c>
      <c r="I135" s="19">
        <v>305.0</v>
      </c>
      <c r="J135" s="10" t="s">
        <v>441</v>
      </c>
      <c r="K135" s="10" t="s">
        <v>441</v>
      </c>
      <c r="L135" s="21" t="s">
        <v>553</v>
      </c>
      <c r="M135" s="17">
        <f t="shared" si="3"/>
        <v>67.09</v>
      </c>
      <c r="N135" s="17">
        <f t="shared" si="2"/>
        <v>305</v>
      </c>
      <c r="O135" s="18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15.75" customHeight="1">
      <c r="A136" s="13" t="s">
        <v>184</v>
      </c>
      <c r="B136" s="14">
        <v>1.0</v>
      </c>
      <c r="C136" s="13" t="s">
        <v>185</v>
      </c>
      <c r="D136" s="13" t="s">
        <v>186</v>
      </c>
      <c r="E136" s="15"/>
      <c r="F136" s="16" t="s">
        <v>187</v>
      </c>
      <c r="G136" s="12"/>
      <c r="H136" s="19">
        <v>305.0</v>
      </c>
      <c r="I136" s="19">
        <v>305.0</v>
      </c>
      <c r="J136" s="10" t="s">
        <v>441</v>
      </c>
      <c r="K136" s="10" t="s">
        <v>546</v>
      </c>
      <c r="L136" s="21" t="s">
        <v>554</v>
      </c>
      <c r="M136" s="17">
        <f t="shared" si="3"/>
        <v>305</v>
      </c>
      <c r="N136" s="17">
        <f t="shared" si="2"/>
        <v>305</v>
      </c>
      <c r="O136" s="18"/>
      <c r="P136" s="10" t="s">
        <v>441</v>
      </c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15.75" customHeight="1">
      <c r="A137" s="13" t="s">
        <v>188</v>
      </c>
      <c r="B137" s="14">
        <v>1.0</v>
      </c>
      <c r="C137" s="13" t="s">
        <v>189</v>
      </c>
      <c r="D137" s="13" t="s">
        <v>190</v>
      </c>
      <c r="E137" s="22"/>
      <c r="F137" s="16" t="s">
        <v>191</v>
      </c>
      <c r="G137" s="12"/>
      <c r="H137" s="19">
        <v>51.26</v>
      </c>
      <c r="I137" s="19">
        <v>51.26</v>
      </c>
      <c r="J137" s="10" t="s">
        <v>441</v>
      </c>
      <c r="K137" s="10" t="s">
        <v>441</v>
      </c>
      <c r="L137" s="21" t="s">
        <v>555</v>
      </c>
      <c r="M137" s="17">
        <f t="shared" si="3"/>
        <v>51.26</v>
      </c>
      <c r="N137" s="17">
        <f t="shared" si="2"/>
        <v>51.26</v>
      </c>
      <c r="O137" s="18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15.75" customHeight="1">
      <c r="A138" s="16" t="s">
        <v>192</v>
      </c>
      <c r="B138" s="14">
        <v>1.0</v>
      </c>
      <c r="C138" s="13" t="s">
        <v>193</v>
      </c>
      <c r="D138" s="13" t="s">
        <v>194</v>
      </c>
      <c r="E138" s="13" t="s">
        <v>161</v>
      </c>
      <c r="F138" s="16" t="s">
        <v>195</v>
      </c>
      <c r="G138" s="12"/>
      <c r="H138" s="19">
        <v>76.0</v>
      </c>
      <c r="I138" s="19">
        <v>76.0</v>
      </c>
      <c r="J138" s="12"/>
      <c r="K138" s="12"/>
      <c r="L138" s="24"/>
      <c r="M138" s="17">
        <f t="shared" si="3"/>
        <v>76</v>
      </c>
      <c r="N138" s="17">
        <f t="shared" si="2"/>
        <v>76</v>
      </c>
      <c r="O138" s="11" t="s">
        <v>548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15.75" customHeight="1">
      <c r="A139" s="16" t="s">
        <v>196</v>
      </c>
      <c r="B139" s="14">
        <v>1.0</v>
      </c>
      <c r="C139" s="13" t="s">
        <v>193</v>
      </c>
      <c r="D139" s="13" t="s">
        <v>194</v>
      </c>
      <c r="E139" s="13" t="s">
        <v>161</v>
      </c>
      <c r="F139" s="16" t="s">
        <v>195</v>
      </c>
      <c r="G139" s="12"/>
      <c r="H139" s="19">
        <v>76.0</v>
      </c>
      <c r="I139" s="19">
        <v>76.0</v>
      </c>
      <c r="J139" s="12"/>
      <c r="K139" s="12"/>
      <c r="L139" s="21" t="s">
        <v>556</v>
      </c>
      <c r="M139" s="17">
        <f t="shared" si="3"/>
        <v>76</v>
      </c>
      <c r="N139" s="17">
        <f t="shared" si="2"/>
        <v>76</v>
      </c>
      <c r="O139" s="18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15.75" customHeight="1">
      <c r="A140" s="13" t="s">
        <v>197</v>
      </c>
      <c r="B140" s="14">
        <v>1.0</v>
      </c>
      <c r="C140" s="13" t="s">
        <v>198</v>
      </c>
      <c r="D140" s="13" t="s">
        <v>199</v>
      </c>
      <c r="E140" s="13" t="s">
        <v>161</v>
      </c>
      <c r="F140" s="16" t="s">
        <v>200</v>
      </c>
      <c r="G140" s="12"/>
      <c r="H140" s="19">
        <v>600.0</v>
      </c>
      <c r="I140" s="19">
        <v>600.0</v>
      </c>
      <c r="J140" s="10" t="s">
        <v>441</v>
      </c>
      <c r="K140" s="10" t="s">
        <v>546</v>
      </c>
      <c r="L140" s="21" t="s">
        <v>557</v>
      </c>
      <c r="M140" s="17">
        <f t="shared" si="3"/>
        <v>600</v>
      </c>
      <c r="N140" s="17">
        <f t="shared" si="2"/>
        <v>600</v>
      </c>
      <c r="O140" s="18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15.75" customHeight="1">
      <c r="A141" s="13" t="s">
        <v>201</v>
      </c>
      <c r="B141" s="14">
        <v>1.0</v>
      </c>
      <c r="C141" s="13" t="s">
        <v>198</v>
      </c>
      <c r="D141" s="13" t="s">
        <v>199</v>
      </c>
      <c r="E141" s="13" t="s">
        <v>161</v>
      </c>
      <c r="F141" s="16" t="s">
        <v>200</v>
      </c>
      <c r="G141" s="12"/>
      <c r="H141" s="19">
        <v>600.0</v>
      </c>
      <c r="I141" s="19">
        <v>600.0</v>
      </c>
      <c r="J141" s="10" t="s">
        <v>441</v>
      </c>
      <c r="K141" s="10" t="s">
        <v>546</v>
      </c>
      <c r="L141" s="21" t="s">
        <v>557</v>
      </c>
      <c r="M141" s="17">
        <f t="shared" si="3"/>
        <v>600</v>
      </c>
      <c r="N141" s="17">
        <f t="shared" si="2"/>
        <v>600</v>
      </c>
      <c r="O141" s="18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15.75" customHeight="1">
      <c r="A142" s="13" t="s">
        <v>202</v>
      </c>
      <c r="B142" s="14">
        <v>1.0</v>
      </c>
      <c r="C142" s="13" t="s">
        <v>203</v>
      </c>
      <c r="D142" s="13" t="s">
        <v>204</v>
      </c>
      <c r="E142" s="13" t="s">
        <v>161</v>
      </c>
      <c r="F142" s="16" t="s">
        <v>205</v>
      </c>
      <c r="G142" s="12"/>
      <c r="H142" s="19">
        <v>2550.0</v>
      </c>
      <c r="I142" s="19">
        <v>2550.0</v>
      </c>
      <c r="J142" s="10" t="s">
        <v>441</v>
      </c>
      <c r="K142" s="10" t="s">
        <v>546</v>
      </c>
      <c r="L142" s="25" t="s">
        <v>558</v>
      </c>
      <c r="M142" s="17">
        <f t="shared" si="3"/>
        <v>2550</v>
      </c>
      <c r="N142" s="17">
        <f t="shared" si="2"/>
        <v>2550</v>
      </c>
      <c r="O142" s="18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15.75" customHeight="1">
      <c r="A143" s="13" t="s">
        <v>206</v>
      </c>
      <c r="B143" s="14">
        <v>1.0</v>
      </c>
      <c r="C143" s="13" t="s">
        <v>203</v>
      </c>
      <c r="D143" s="13" t="s">
        <v>204</v>
      </c>
      <c r="E143" s="13" t="s">
        <v>161</v>
      </c>
      <c r="F143" s="13" t="s">
        <v>205</v>
      </c>
      <c r="G143" s="12"/>
      <c r="H143" s="19">
        <v>2550.0</v>
      </c>
      <c r="I143" s="19">
        <v>2550.0</v>
      </c>
      <c r="J143" s="10" t="s">
        <v>441</v>
      </c>
      <c r="K143" s="10" t="s">
        <v>546</v>
      </c>
      <c r="L143" s="25" t="s">
        <v>558</v>
      </c>
      <c r="M143" s="17">
        <f t="shared" si="3"/>
        <v>2550</v>
      </c>
      <c r="N143" s="17">
        <f t="shared" si="2"/>
        <v>2550</v>
      </c>
      <c r="O143" s="18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15.75" customHeight="1">
      <c r="A144" s="13" t="s">
        <v>207</v>
      </c>
      <c r="B144" s="14">
        <v>1.0</v>
      </c>
      <c r="C144" s="13" t="s">
        <v>208</v>
      </c>
      <c r="D144" s="13" t="s">
        <v>209</v>
      </c>
      <c r="E144" s="22"/>
      <c r="F144" s="16" t="s">
        <v>210</v>
      </c>
      <c r="G144" s="12"/>
      <c r="H144" s="19">
        <v>110.0</v>
      </c>
      <c r="I144" s="19">
        <v>110.0</v>
      </c>
      <c r="J144" s="10" t="s">
        <v>441</v>
      </c>
      <c r="K144" s="10" t="s">
        <v>441</v>
      </c>
      <c r="L144" s="21" t="s">
        <v>559</v>
      </c>
      <c r="M144" s="17">
        <f t="shared" si="3"/>
        <v>110</v>
      </c>
      <c r="N144" s="17">
        <f t="shared" si="2"/>
        <v>110</v>
      </c>
      <c r="O144" s="18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15.75" customHeight="1">
      <c r="A145" s="13" t="s">
        <v>211</v>
      </c>
      <c r="B145" s="14">
        <v>1.0</v>
      </c>
      <c r="C145" s="13" t="s">
        <v>208</v>
      </c>
      <c r="D145" s="13" t="s">
        <v>209</v>
      </c>
      <c r="E145" s="22"/>
      <c r="F145" s="16" t="s">
        <v>210</v>
      </c>
      <c r="G145" s="12"/>
      <c r="H145" s="19">
        <v>110.0</v>
      </c>
      <c r="I145" s="19">
        <v>110.0</v>
      </c>
      <c r="J145" s="10" t="s">
        <v>441</v>
      </c>
      <c r="K145" s="10" t="s">
        <v>441</v>
      </c>
      <c r="L145" s="21" t="s">
        <v>559</v>
      </c>
      <c r="M145" s="17">
        <f t="shared" si="3"/>
        <v>110</v>
      </c>
      <c r="N145" s="17">
        <f t="shared" si="2"/>
        <v>110</v>
      </c>
      <c r="O145" s="18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A146" s="13" t="s">
        <v>212</v>
      </c>
      <c r="B146" s="14">
        <v>1.0</v>
      </c>
      <c r="C146" s="13" t="s">
        <v>213</v>
      </c>
      <c r="D146" s="13" t="s">
        <v>214</v>
      </c>
      <c r="E146" s="13" t="s">
        <v>215</v>
      </c>
      <c r="F146" s="16" t="s">
        <v>216</v>
      </c>
      <c r="G146" s="12"/>
      <c r="H146" s="19">
        <v>495.0</v>
      </c>
      <c r="I146" s="19">
        <v>495.0</v>
      </c>
      <c r="J146" s="10" t="s">
        <v>441</v>
      </c>
      <c r="K146" s="10" t="s">
        <v>441</v>
      </c>
      <c r="L146" s="24"/>
      <c r="M146" s="17">
        <f t="shared" si="3"/>
        <v>495</v>
      </c>
      <c r="N146" s="17">
        <f t="shared" si="2"/>
        <v>495</v>
      </c>
      <c r="O146" s="18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ht="15.75" customHeight="1">
      <c r="A147" s="13" t="s">
        <v>217</v>
      </c>
      <c r="B147" s="14">
        <v>1.0</v>
      </c>
      <c r="C147" s="13" t="s">
        <v>218</v>
      </c>
      <c r="D147" s="13" t="s">
        <v>219</v>
      </c>
      <c r="E147" s="22"/>
      <c r="F147" s="16" t="s">
        <v>220</v>
      </c>
      <c r="G147" s="12"/>
      <c r="H147" s="19">
        <v>43.59</v>
      </c>
      <c r="I147" s="19">
        <v>43.59</v>
      </c>
      <c r="J147" s="10" t="s">
        <v>441</v>
      </c>
      <c r="K147" s="10" t="s">
        <v>441</v>
      </c>
      <c r="L147" s="21" t="s">
        <v>560</v>
      </c>
      <c r="M147" s="17">
        <f t="shared" si="3"/>
        <v>43.59</v>
      </c>
      <c r="N147" s="17">
        <f t="shared" si="2"/>
        <v>43.59</v>
      </c>
      <c r="O147" s="18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ht="15.75" customHeight="1">
      <c r="A148" s="13" t="s">
        <v>221</v>
      </c>
      <c r="B148" s="14">
        <v>1.0</v>
      </c>
      <c r="C148" s="13" t="s">
        <v>218</v>
      </c>
      <c r="D148" s="13" t="s">
        <v>219</v>
      </c>
      <c r="E148" s="22"/>
      <c r="F148" s="16" t="s">
        <v>220</v>
      </c>
      <c r="G148" s="12"/>
      <c r="H148" s="19">
        <v>43.59</v>
      </c>
      <c r="I148" s="19">
        <v>43.59</v>
      </c>
      <c r="J148" s="10" t="s">
        <v>441</v>
      </c>
      <c r="K148" s="10" t="s">
        <v>441</v>
      </c>
      <c r="L148" s="21" t="s">
        <v>560</v>
      </c>
      <c r="M148" s="17">
        <f t="shared" si="3"/>
        <v>43.59</v>
      </c>
      <c r="N148" s="17">
        <f t="shared" si="2"/>
        <v>43.59</v>
      </c>
      <c r="O148" s="18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ht="15.75" customHeight="1">
      <c r="A149" s="13" t="s">
        <v>222</v>
      </c>
      <c r="B149" s="14">
        <v>1.0</v>
      </c>
      <c r="C149" s="13" t="s">
        <v>218</v>
      </c>
      <c r="D149" s="13" t="s">
        <v>219</v>
      </c>
      <c r="E149" s="22"/>
      <c r="F149" s="16" t="s">
        <v>220</v>
      </c>
      <c r="G149" s="12"/>
      <c r="H149" s="19">
        <v>43.59</v>
      </c>
      <c r="I149" s="19">
        <v>43.59</v>
      </c>
      <c r="J149" s="10" t="s">
        <v>441</v>
      </c>
      <c r="K149" s="10" t="s">
        <v>441</v>
      </c>
      <c r="L149" s="21" t="s">
        <v>560</v>
      </c>
      <c r="M149" s="17">
        <f t="shared" si="3"/>
        <v>43.59</v>
      </c>
      <c r="N149" s="17">
        <f t="shared" si="2"/>
        <v>43.59</v>
      </c>
      <c r="O149" s="18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ht="15.75" customHeight="1">
      <c r="A150" s="13" t="s">
        <v>223</v>
      </c>
      <c r="B150" s="14">
        <v>1.0</v>
      </c>
      <c r="C150" s="13" t="s">
        <v>218</v>
      </c>
      <c r="D150" s="13" t="s">
        <v>219</v>
      </c>
      <c r="E150" s="22"/>
      <c r="F150" s="16" t="s">
        <v>220</v>
      </c>
      <c r="G150" s="12"/>
      <c r="H150" s="19">
        <v>43.59</v>
      </c>
      <c r="I150" s="19">
        <v>43.59</v>
      </c>
      <c r="J150" s="10" t="s">
        <v>441</v>
      </c>
      <c r="K150" s="10" t="s">
        <v>441</v>
      </c>
      <c r="L150" s="21" t="s">
        <v>560</v>
      </c>
      <c r="M150" s="17">
        <f t="shared" si="3"/>
        <v>43.59</v>
      </c>
      <c r="N150" s="17">
        <f t="shared" si="2"/>
        <v>43.59</v>
      </c>
      <c r="O150" s="18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ht="15.75" customHeight="1">
      <c r="A151" s="13" t="s">
        <v>224</v>
      </c>
      <c r="B151" s="14">
        <v>1.0</v>
      </c>
      <c r="C151" s="13" t="s">
        <v>225</v>
      </c>
      <c r="D151" s="13" t="s">
        <v>226</v>
      </c>
      <c r="E151" s="22"/>
      <c r="F151" s="13" t="s">
        <v>227</v>
      </c>
      <c r="G151" s="12"/>
      <c r="H151" s="17"/>
      <c r="I151" s="17"/>
      <c r="J151" s="12"/>
      <c r="K151" s="12"/>
      <c r="L151" s="24"/>
      <c r="M151" s="17">
        <f t="shared" si="3"/>
        <v>0</v>
      </c>
      <c r="N151" s="17">
        <f t="shared" si="2"/>
        <v>0</v>
      </c>
      <c r="O151" s="11" t="s">
        <v>561</v>
      </c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ht="15.75" customHeight="1">
      <c r="A152" s="13" t="s">
        <v>224</v>
      </c>
      <c r="B152" s="14">
        <v>1.0</v>
      </c>
      <c r="C152" s="13" t="s">
        <v>228</v>
      </c>
      <c r="D152" s="13" t="s">
        <v>229</v>
      </c>
      <c r="E152" s="15"/>
      <c r="F152" s="13" t="s">
        <v>230</v>
      </c>
      <c r="G152" s="12"/>
      <c r="H152" s="17"/>
      <c r="I152" s="17"/>
      <c r="J152" s="12"/>
      <c r="K152" s="12"/>
      <c r="L152" s="24"/>
      <c r="M152" s="17">
        <f t="shared" si="3"/>
        <v>0</v>
      </c>
      <c r="N152" s="17">
        <f t="shared" si="2"/>
        <v>0</v>
      </c>
      <c r="O152" s="18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ht="15.75" customHeight="1">
      <c r="A153" s="16" t="s">
        <v>231</v>
      </c>
      <c r="B153" s="14">
        <v>1.0</v>
      </c>
      <c r="C153" s="13" t="s">
        <v>232</v>
      </c>
      <c r="D153" s="13" t="s">
        <v>233</v>
      </c>
      <c r="E153" s="22"/>
      <c r="F153" s="16" t="s">
        <v>234</v>
      </c>
      <c r="G153" s="12"/>
      <c r="H153" s="19">
        <v>1.9</v>
      </c>
      <c r="I153" s="19">
        <v>1.9</v>
      </c>
      <c r="J153" s="10" t="s">
        <v>441</v>
      </c>
      <c r="K153" s="10" t="s">
        <v>546</v>
      </c>
      <c r="L153" s="25" t="s">
        <v>562</v>
      </c>
      <c r="M153" s="17">
        <f t="shared" si="3"/>
        <v>1.9</v>
      </c>
      <c r="N153" s="17">
        <f t="shared" si="2"/>
        <v>1.9</v>
      </c>
      <c r="O153" s="18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ht="15.75" customHeight="1">
      <c r="A154" s="16" t="s">
        <v>235</v>
      </c>
      <c r="B154" s="14">
        <v>1.0</v>
      </c>
      <c r="C154" s="13" t="s">
        <v>236</v>
      </c>
      <c r="D154" s="13" t="s">
        <v>237</v>
      </c>
      <c r="E154" s="13" t="s">
        <v>238</v>
      </c>
      <c r="F154" s="16" t="s">
        <v>239</v>
      </c>
      <c r="G154" s="12"/>
      <c r="H154" s="19">
        <v>18.52</v>
      </c>
      <c r="I154" s="19">
        <v>18.52</v>
      </c>
      <c r="J154" s="10" t="s">
        <v>441</v>
      </c>
      <c r="K154" s="10" t="s">
        <v>441</v>
      </c>
      <c r="L154" s="24"/>
      <c r="M154" s="17">
        <f t="shared" si="3"/>
        <v>18.52</v>
      </c>
      <c r="N154" s="17">
        <f t="shared" si="2"/>
        <v>18.52</v>
      </c>
      <c r="O154" s="18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ht="15.75" customHeight="1">
      <c r="A155" s="16" t="s">
        <v>231</v>
      </c>
      <c r="B155" s="14">
        <v>1.0</v>
      </c>
      <c r="C155" s="13" t="s">
        <v>240</v>
      </c>
      <c r="D155" s="13" t="s">
        <v>241</v>
      </c>
      <c r="E155" s="13" t="s">
        <v>238</v>
      </c>
      <c r="F155" s="16" t="s">
        <v>242</v>
      </c>
      <c r="G155" s="12"/>
      <c r="H155" s="19">
        <v>18.63</v>
      </c>
      <c r="I155" s="19">
        <v>18.63</v>
      </c>
      <c r="J155" s="10" t="s">
        <v>441</v>
      </c>
      <c r="K155" s="10" t="s">
        <v>441</v>
      </c>
      <c r="L155" s="24"/>
      <c r="M155" s="17">
        <f t="shared" si="3"/>
        <v>18.63</v>
      </c>
      <c r="N155" s="17">
        <f t="shared" si="2"/>
        <v>18.63</v>
      </c>
      <c r="O155" s="18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ht="15.75" customHeight="1">
      <c r="A156" s="16" t="s">
        <v>235</v>
      </c>
      <c r="B156" s="14">
        <v>1.0</v>
      </c>
      <c r="C156" s="13" t="s">
        <v>243</v>
      </c>
      <c r="D156" s="13" t="s">
        <v>244</v>
      </c>
      <c r="E156" s="13" t="s">
        <v>238</v>
      </c>
      <c r="F156" s="16" t="s">
        <v>245</v>
      </c>
      <c r="G156" s="12"/>
      <c r="H156" s="19">
        <v>34.74</v>
      </c>
      <c r="I156" s="19">
        <v>28.04</v>
      </c>
      <c r="J156" s="10" t="s">
        <v>441</v>
      </c>
      <c r="K156" s="10" t="s">
        <v>441</v>
      </c>
      <c r="L156" s="21" t="s">
        <v>563</v>
      </c>
      <c r="M156" s="17">
        <f t="shared" si="3"/>
        <v>34.74</v>
      </c>
      <c r="N156" s="17">
        <f t="shared" si="2"/>
        <v>28.04</v>
      </c>
      <c r="O156" s="18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ht="15.75" customHeight="1">
      <c r="A157" s="16" t="s">
        <v>246</v>
      </c>
      <c r="B157" s="14">
        <v>1.0</v>
      </c>
      <c r="C157" s="13" t="s">
        <v>247</v>
      </c>
      <c r="D157" s="13" t="s">
        <v>248</v>
      </c>
      <c r="E157" s="13" t="s">
        <v>238</v>
      </c>
      <c r="F157" s="16" t="s">
        <v>249</v>
      </c>
      <c r="G157" s="12"/>
      <c r="H157" s="19">
        <v>53.83</v>
      </c>
      <c r="I157" s="19">
        <v>44.05</v>
      </c>
      <c r="J157" s="10" t="s">
        <v>441</v>
      </c>
      <c r="K157" s="10" t="s">
        <v>441</v>
      </c>
      <c r="L157" s="21" t="s">
        <v>564</v>
      </c>
      <c r="M157" s="17">
        <f t="shared" si="3"/>
        <v>53.83</v>
      </c>
      <c r="N157" s="17">
        <f t="shared" si="2"/>
        <v>44.05</v>
      </c>
      <c r="O157" s="18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ht="15.75" customHeight="1">
      <c r="A158" s="16" t="s">
        <v>250</v>
      </c>
      <c r="B158" s="14">
        <v>1.0</v>
      </c>
      <c r="C158" s="13" t="s">
        <v>247</v>
      </c>
      <c r="D158" s="13" t="s">
        <v>248</v>
      </c>
      <c r="E158" s="13" t="s">
        <v>238</v>
      </c>
      <c r="F158" s="16" t="s">
        <v>249</v>
      </c>
      <c r="G158" s="12"/>
      <c r="H158" s="19">
        <v>53.83</v>
      </c>
      <c r="I158" s="19">
        <v>44.05</v>
      </c>
      <c r="J158" s="10" t="s">
        <v>441</v>
      </c>
      <c r="K158" s="10" t="s">
        <v>441</v>
      </c>
      <c r="L158" s="21" t="s">
        <v>564</v>
      </c>
      <c r="M158" s="17">
        <f t="shared" si="3"/>
        <v>53.83</v>
      </c>
      <c r="N158" s="17">
        <f t="shared" si="2"/>
        <v>44.05</v>
      </c>
      <c r="O158" s="18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ht="15.75" customHeight="1">
      <c r="A159" s="16" t="s">
        <v>231</v>
      </c>
      <c r="B159" s="14">
        <v>1.0</v>
      </c>
      <c r="C159" s="13" t="s">
        <v>251</v>
      </c>
      <c r="D159" s="13" t="s">
        <v>252</v>
      </c>
      <c r="E159" s="13" t="s">
        <v>238</v>
      </c>
      <c r="F159" s="16" t="s">
        <v>253</v>
      </c>
      <c r="G159" s="12"/>
      <c r="H159" s="19">
        <v>18.61</v>
      </c>
      <c r="I159" s="19">
        <v>15.23</v>
      </c>
      <c r="J159" s="10" t="s">
        <v>441</v>
      </c>
      <c r="K159" s="10" t="s">
        <v>441</v>
      </c>
      <c r="L159" s="21" t="s">
        <v>565</v>
      </c>
      <c r="M159" s="17">
        <f t="shared" si="3"/>
        <v>18.61</v>
      </c>
      <c r="N159" s="17">
        <f t="shared" si="2"/>
        <v>15.23</v>
      </c>
      <c r="O159" s="18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ht="15.75" customHeight="1">
      <c r="A160" s="13" t="s">
        <v>235</v>
      </c>
      <c r="B160" s="14">
        <v>1.0</v>
      </c>
      <c r="C160" s="13" t="s">
        <v>254</v>
      </c>
      <c r="D160" s="13" t="s">
        <v>255</v>
      </c>
      <c r="E160" s="15"/>
      <c r="F160" s="16" t="s">
        <v>256</v>
      </c>
      <c r="G160" s="12"/>
      <c r="H160" s="19">
        <v>6.2</v>
      </c>
      <c r="I160" s="19">
        <v>6.2</v>
      </c>
      <c r="J160" s="10" t="s">
        <v>441</v>
      </c>
      <c r="K160" s="10" t="s">
        <v>546</v>
      </c>
      <c r="L160" s="21" t="s">
        <v>566</v>
      </c>
      <c r="M160" s="17">
        <f t="shared" si="3"/>
        <v>6.2</v>
      </c>
      <c r="N160" s="17">
        <f t="shared" si="2"/>
        <v>6.2</v>
      </c>
      <c r="O160" s="18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ht="15.75" customHeight="1">
      <c r="A161" s="13" t="s">
        <v>231</v>
      </c>
      <c r="B161" s="14">
        <v>1.0</v>
      </c>
      <c r="C161" s="13" t="s">
        <v>257</v>
      </c>
      <c r="D161" s="13" t="s">
        <v>258</v>
      </c>
      <c r="E161" s="13" t="s">
        <v>238</v>
      </c>
      <c r="F161" s="16" t="s">
        <v>259</v>
      </c>
      <c r="G161" s="12"/>
      <c r="H161" s="19">
        <v>2.17</v>
      </c>
      <c r="I161" s="19">
        <v>2.17</v>
      </c>
      <c r="J161" s="10" t="s">
        <v>441</v>
      </c>
      <c r="K161" s="10" t="s">
        <v>441</v>
      </c>
      <c r="L161" s="21" t="s">
        <v>567</v>
      </c>
      <c r="M161" s="17">
        <f t="shared" si="3"/>
        <v>2.17</v>
      </c>
      <c r="N161" s="17">
        <f t="shared" si="2"/>
        <v>2.17</v>
      </c>
      <c r="O161" s="18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ht="15.75" customHeight="1">
      <c r="A162" s="13" t="s">
        <v>260</v>
      </c>
      <c r="B162" s="14">
        <v>1.0</v>
      </c>
      <c r="C162" s="13" t="s">
        <v>261</v>
      </c>
      <c r="D162" s="13" t="s">
        <v>262</v>
      </c>
      <c r="E162" s="13" t="s">
        <v>238</v>
      </c>
      <c r="F162" s="16" t="s">
        <v>263</v>
      </c>
      <c r="G162" s="12"/>
      <c r="H162" s="19">
        <v>59.36</v>
      </c>
      <c r="I162" s="19">
        <v>51.44</v>
      </c>
      <c r="J162" s="10" t="s">
        <v>441</v>
      </c>
      <c r="K162" s="10" t="s">
        <v>441</v>
      </c>
      <c r="L162" s="26" t="s">
        <v>568</v>
      </c>
      <c r="M162" s="17">
        <f t="shared" si="3"/>
        <v>59.36</v>
      </c>
      <c r="N162" s="17">
        <f t="shared" si="2"/>
        <v>51.44</v>
      </c>
      <c r="O162" s="18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ht="15.75" customHeight="1">
      <c r="A163" s="13" t="s">
        <v>264</v>
      </c>
      <c r="B163" s="14">
        <v>1.0</v>
      </c>
      <c r="C163" s="13" t="s">
        <v>265</v>
      </c>
      <c r="D163" s="13" t="s">
        <v>266</v>
      </c>
      <c r="E163" s="13" t="s">
        <v>267</v>
      </c>
      <c r="F163" s="16" t="s">
        <v>268</v>
      </c>
      <c r="G163" s="12"/>
      <c r="H163" s="19">
        <v>36.84</v>
      </c>
      <c r="I163" s="19">
        <v>32.23</v>
      </c>
      <c r="J163" s="10" t="s">
        <v>441</v>
      </c>
      <c r="K163" s="10" t="s">
        <v>441</v>
      </c>
      <c r="L163" s="21" t="s">
        <v>569</v>
      </c>
      <c r="M163" s="17">
        <f t="shared" si="3"/>
        <v>36.84</v>
      </c>
      <c r="N163" s="17">
        <f t="shared" si="2"/>
        <v>32.23</v>
      </c>
      <c r="O163" s="18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ht="15.75" customHeight="1">
      <c r="A164" s="13" t="s">
        <v>269</v>
      </c>
      <c r="B164" s="14">
        <v>1.0</v>
      </c>
      <c r="C164" s="13" t="s">
        <v>265</v>
      </c>
      <c r="D164" s="13" t="s">
        <v>270</v>
      </c>
      <c r="E164" s="13" t="s">
        <v>267</v>
      </c>
      <c r="F164" s="16" t="s">
        <v>271</v>
      </c>
      <c r="G164" s="12"/>
      <c r="H164" s="19">
        <v>49.61</v>
      </c>
      <c r="I164" s="19">
        <v>45.4158</v>
      </c>
      <c r="J164" s="10" t="s">
        <v>441</v>
      </c>
      <c r="K164" s="10" t="s">
        <v>441</v>
      </c>
      <c r="L164" s="24"/>
      <c r="M164" s="17">
        <f t="shared" si="3"/>
        <v>49.61</v>
      </c>
      <c r="N164" s="17">
        <f t="shared" si="2"/>
        <v>45.4158</v>
      </c>
      <c r="O164" s="18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ht="15.75" customHeight="1">
      <c r="A165" s="13" t="s">
        <v>272</v>
      </c>
      <c r="B165" s="14">
        <v>1.0</v>
      </c>
      <c r="C165" s="13" t="s">
        <v>273</v>
      </c>
      <c r="D165" s="13" t="s">
        <v>274</v>
      </c>
      <c r="E165" s="15"/>
      <c r="F165" s="16" t="s">
        <v>275</v>
      </c>
      <c r="G165" s="12"/>
      <c r="H165" s="19">
        <v>138.11</v>
      </c>
      <c r="I165" s="19">
        <v>132.67</v>
      </c>
      <c r="J165" s="10" t="s">
        <v>441</v>
      </c>
      <c r="K165" s="10" t="s">
        <v>441</v>
      </c>
      <c r="L165" s="21" t="s">
        <v>570</v>
      </c>
      <c r="M165" s="17">
        <f t="shared" si="3"/>
        <v>138.11</v>
      </c>
      <c r="N165" s="17">
        <f t="shared" si="2"/>
        <v>132.67</v>
      </c>
      <c r="O165" s="18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ht="15.75" customHeight="1">
      <c r="A166" s="13" t="s">
        <v>276</v>
      </c>
      <c r="B166" s="14">
        <v>1.0</v>
      </c>
      <c r="C166" s="13" t="s">
        <v>277</v>
      </c>
      <c r="D166" s="13" t="s">
        <v>278</v>
      </c>
      <c r="E166" s="22"/>
      <c r="F166" s="16" t="s">
        <v>279</v>
      </c>
      <c r="G166" s="12"/>
      <c r="H166" s="19">
        <v>228.79</v>
      </c>
      <c r="I166" s="19">
        <v>228.79</v>
      </c>
      <c r="J166" s="10" t="s">
        <v>441</v>
      </c>
      <c r="K166" s="10" t="s">
        <v>546</v>
      </c>
      <c r="L166" s="21" t="s">
        <v>571</v>
      </c>
      <c r="M166" s="17">
        <f t="shared" si="3"/>
        <v>228.79</v>
      </c>
      <c r="N166" s="17">
        <f t="shared" si="2"/>
        <v>228.79</v>
      </c>
      <c r="O166" s="18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ht="15.75" customHeight="1">
      <c r="A167" s="13" t="s">
        <v>280</v>
      </c>
      <c r="B167" s="14">
        <v>1.0</v>
      </c>
      <c r="C167" s="13" t="s">
        <v>281</v>
      </c>
      <c r="D167" s="13" t="s">
        <v>282</v>
      </c>
      <c r="E167" s="13" t="s">
        <v>215</v>
      </c>
      <c r="F167" s="16" t="s">
        <v>283</v>
      </c>
      <c r="G167" s="12"/>
      <c r="H167" s="19">
        <v>445.5</v>
      </c>
      <c r="I167" s="19">
        <v>445.5</v>
      </c>
      <c r="J167" s="10" t="s">
        <v>441</v>
      </c>
      <c r="K167" s="10" t="s">
        <v>441</v>
      </c>
      <c r="L167" s="24"/>
      <c r="M167" s="17">
        <f t="shared" si="3"/>
        <v>445.5</v>
      </c>
      <c r="N167" s="17">
        <f t="shared" si="2"/>
        <v>445.5</v>
      </c>
      <c r="O167" s="18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ht="15.75" customHeight="1">
      <c r="A168" s="13" t="s">
        <v>224</v>
      </c>
      <c r="B168" s="14">
        <v>17.0</v>
      </c>
      <c r="C168" s="13" t="s">
        <v>284</v>
      </c>
      <c r="D168" s="13" t="s">
        <v>285</v>
      </c>
      <c r="E168" s="22"/>
      <c r="F168" s="13" t="s">
        <v>286</v>
      </c>
      <c r="G168" s="12"/>
      <c r="H168" s="19">
        <v>7.08</v>
      </c>
      <c r="I168" s="19">
        <v>7.08</v>
      </c>
      <c r="J168" s="10" t="s">
        <v>441</v>
      </c>
      <c r="K168" s="12"/>
      <c r="L168" s="21" t="s">
        <v>572</v>
      </c>
      <c r="M168" s="17">
        <f t="shared" si="3"/>
        <v>120.36</v>
      </c>
      <c r="N168" s="17">
        <f t="shared" si="2"/>
        <v>120.36</v>
      </c>
      <c r="O168" s="18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ht="15.75" customHeight="1">
      <c r="A169" s="13" t="s">
        <v>224</v>
      </c>
      <c r="B169" s="14">
        <v>3.0</v>
      </c>
      <c r="C169" s="13" t="s">
        <v>287</v>
      </c>
      <c r="D169" s="13" t="s">
        <v>288</v>
      </c>
      <c r="E169" s="15"/>
      <c r="F169" s="13" t="s">
        <v>289</v>
      </c>
      <c r="G169" s="12"/>
      <c r="H169" s="19">
        <v>0.84</v>
      </c>
      <c r="I169" s="19">
        <v>0.84</v>
      </c>
      <c r="J169" s="10" t="s">
        <v>441</v>
      </c>
      <c r="K169" s="10" t="s">
        <v>441</v>
      </c>
      <c r="L169" s="21" t="s">
        <v>573</v>
      </c>
      <c r="M169" s="17">
        <f t="shared" si="3"/>
        <v>2.52</v>
      </c>
      <c r="N169" s="17">
        <f t="shared" si="2"/>
        <v>2.52</v>
      </c>
      <c r="O169" s="18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ht="15.75" customHeight="1">
      <c r="A170" s="13" t="s">
        <v>224</v>
      </c>
      <c r="B170" s="14">
        <v>17.0</v>
      </c>
      <c r="C170" s="13" t="s">
        <v>290</v>
      </c>
      <c r="D170" s="13" t="s">
        <v>288</v>
      </c>
      <c r="E170" s="15"/>
      <c r="F170" s="13" t="s">
        <v>291</v>
      </c>
      <c r="G170" s="12"/>
      <c r="H170" s="19">
        <v>1.22</v>
      </c>
      <c r="I170" s="19">
        <v>1.22</v>
      </c>
      <c r="J170" s="10" t="s">
        <v>441</v>
      </c>
      <c r="K170" s="10" t="s">
        <v>441</v>
      </c>
      <c r="L170" s="21" t="s">
        <v>574</v>
      </c>
      <c r="M170" s="17">
        <f t="shared" si="3"/>
        <v>20.74</v>
      </c>
      <c r="N170" s="17">
        <f t="shared" si="2"/>
        <v>20.74</v>
      </c>
      <c r="O170" s="18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ht="15.75" customHeight="1">
      <c r="A171" s="13" t="s">
        <v>224</v>
      </c>
      <c r="B171" s="14">
        <v>3.0</v>
      </c>
      <c r="C171" s="13" t="s">
        <v>292</v>
      </c>
      <c r="D171" s="13" t="s">
        <v>293</v>
      </c>
      <c r="E171" s="15"/>
      <c r="F171" s="13" t="s">
        <v>294</v>
      </c>
      <c r="G171" s="12"/>
      <c r="H171" s="19">
        <v>6.38</v>
      </c>
      <c r="I171" s="19">
        <v>6.38</v>
      </c>
      <c r="J171" s="10" t="s">
        <v>441</v>
      </c>
      <c r="K171" s="10" t="s">
        <v>441</v>
      </c>
      <c r="L171" s="21" t="s">
        <v>575</v>
      </c>
      <c r="M171" s="17">
        <f t="shared" si="3"/>
        <v>19.14</v>
      </c>
      <c r="N171" s="17">
        <f t="shared" si="2"/>
        <v>19.14</v>
      </c>
      <c r="O171" s="18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ht="15.75" customHeight="1">
      <c r="A172" s="13" t="s">
        <v>224</v>
      </c>
      <c r="B172" s="14">
        <v>17.0</v>
      </c>
      <c r="C172" s="13" t="s">
        <v>295</v>
      </c>
      <c r="D172" s="13" t="s">
        <v>293</v>
      </c>
      <c r="E172" s="15"/>
      <c r="F172" s="13" t="s">
        <v>296</v>
      </c>
      <c r="G172" s="12"/>
      <c r="H172" s="19">
        <v>12.15</v>
      </c>
      <c r="I172" s="19">
        <v>12.15</v>
      </c>
      <c r="J172" s="10" t="s">
        <v>441</v>
      </c>
      <c r="K172" s="10" t="s">
        <v>441</v>
      </c>
      <c r="L172" s="21" t="s">
        <v>576</v>
      </c>
      <c r="M172" s="17">
        <f t="shared" si="3"/>
        <v>206.55</v>
      </c>
      <c r="N172" s="17">
        <f t="shared" si="2"/>
        <v>206.55</v>
      </c>
      <c r="O172" s="18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ht="15.75" customHeight="1">
      <c r="A173" s="16" t="s">
        <v>297</v>
      </c>
      <c r="B173" s="14">
        <v>1.0</v>
      </c>
      <c r="C173" s="13" t="s">
        <v>298</v>
      </c>
      <c r="D173" s="13" t="s">
        <v>299</v>
      </c>
      <c r="E173" s="13" t="s">
        <v>161</v>
      </c>
      <c r="F173" s="16" t="s">
        <v>300</v>
      </c>
      <c r="G173" s="12"/>
      <c r="H173" s="19">
        <v>488.0</v>
      </c>
      <c r="I173" s="19">
        <v>488.0</v>
      </c>
      <c r="J173" s="10" t="s">
        <v>441</v>
      </c>
      <c r="K173" s="10" t="s">
        <v>441</v>
      </c>
      <c r="L173" s="21" t="s">
        <v>577</v>
      </c>
      <c r="M173" s="17">
        <f t="shared" si="3"/>
        <v>488</v>
      </c>
      <c r="N173" s="17">
        <f t="shared" si="2"/>
        <v>488</v>
      </c>
      <c r="O173" s="18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ht="15.75" customHeight="1">
      <c r="A174" s="16" t="s">
        <v>301</v>
      </c>
      <c r="B174" s="14">
        <v>1.0</v>
      </c>
      <c r="C174" s="13" t="s">
        <v>302</v>
      </c>
      <c r="D174" s="13" t="s">
        <v>303</v>
      </c>
      <c r="E174" s="13" t="s">
        <v>161</v>
      </c>
      <c r="F174" s="16" t="s">
        <v>304</v>
      </c>
      <c r="G174" s="12"/>
      <c r="H174" s="19">
        <v>359.0</v>
      </c>
      <c r="I174" s="19">
        <v>359.0</v>
      </c>
      <c r="J174" s="10" t="s">
        <v>441</v>
      </c>
      <c r="K174" s="10" t="s">
        <v>441</v>
      </c>
      <c r="L174" s="21" t="s">
        <v>578</v>
      </c>
      <c r="M174" s="17">
        <f t="shared" si="3"/>
        <v>359</v>
      </c>
      <c r="N174" s="17">
        <f t="shared" si="2"/>
        <v>359</v>
      </c>
      <c r="O174" s="18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ht="15.75" customHeight="1">
      <c r="A175" s="16" t="s">
        <v>305</v>
      </c>
      <c r="B175" s="14">
        <v>1.0</v>
      </c>
      <c r="C175" s="13" t="s">
        <v>302</v>
      </c>
      <c r="D175" s="13" t="s">
        <v>303</v>
      </c>
      <c r="E175" s="13" t="s">
        <v>161</v>
      </c>
      <c r="F175" s="16" t="s">
        <v>304</v>
      </c>
      <c r="G175" s="12"/>
      <c r="H175" s="19">
        <v>359.0</v>
      </c>
      <c r="I175" s="19">
        <v>359.0</v>
      </c>
      <c r="J175" s="10" t="s">
        <v>441</v>
      </c>
      <c r="K175" s="10" t="s">
        <v>441</v>
      </c>
      <c r="L175" s="21" t="s">
        <v>578</v>
      </c>
      <c r="M175" s="17">
        <f t="shared" si="3"/>
        <v>359</v>
      </c>
      <c r="N175" s="17">
        <f t="shared" si="2"/>
        <v>359</v>
      </c>
      <c r="O175" s="18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ht="15.75" customHeight="1">
      <c r="A176" s="13" t="s">
        <v>306</v>
      </c>
      <c r="B176" s="14">
        <v>1.0</v>
      </c>
      <c r="C176" s="13" t="s">
        <v>302</v>
      </c>
      <c r="D176" s="13" t="s">
        <v>303</v>
      </c>
      <c r="E176" s="13" t="s">
        <v>161</v>
      </c>
      <c r="F176" s="16" t="s">
        <v>304</v>
      </c>
      <c r="G176" s="12"/>
      <c r="H176" s="19">
        <v>359.0</v>
      </c>
      <c r="I176" s="19">
        <v>359.0</v>
      </c>
      <c r="J176" s="10" t="s">
        <v>441</v>
      </c>
      <c r="K176" s="10" t="s">
        <v>441</v>
      </c>
      <c r="L176" s="21" t="s">
        <v>578</v>
      </c>
      <c r="M176" s="17">
        <f t="shared" si="3"/>
        <v>359</v>
      </c>
      <c r="N176" s="17">
        <f t="shared" si="2"/>
        <v>359</v>
      </c>
      <c r="O176" s="18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ht="15.75" customHeight="1">
      <c r="A177" s="16" t="s">
        <v>307</v>
      </c>
      <c r="B177" s="14">
        <v>1.0</v>
      </c>
      <c r="C177" s="13" t="s">
        <v>308</v>
      </c>
      <c r="D177" s="13" t="s">
        <v>309</v>
      </c>
      <c r="E177" s="13" t="s">
        <v>161</v>
      </c>
      <c r="F177" s="16" t="s">
        <v>310</v>
      </c>
      <c r="G177" s="12"/>
      <c r="H177" s="19">
        <v>355.0</v>
      </c>
      <c r="I177" s="19">
        <v>355.0</v>
      </c>
      <c r="J177" s="10" t="s">
        <v>441</v>
      </c>
      <c r="K177" s="10" t="s">
        <v>546</v>
      </c>
      <c r="L177" s="21" t="s">
        <v>579</v>
      </c>
      <c r="M177" s="17">
        <f t="shared" si="3"/>
        <v>355</v>
      </c>
      <c r="N177" s="17">
        <f t="shared" si="2"/>
        <v>355</v>
      </c>
      <c r="O177" s="18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ht="15.75" customHeight="1">
      <c r="A178" s="13" t="s">
        <v>311</v>
      </c>
      <c r="B178" s="14">
        <v>1.0</v>
      </c>
      <c r="C178" s="13" t="s">
        <v>312</v>
      </c>
      <c r="D178" s="13" t="s">
        <v>313</v>
      </c>
      <c r="E178" s="13" t="s">
        <v>161</v>
      </c>
      <c r="F178" s="16" t="s">
        <v>314</v>
      </c>
      <c r="G178" s="12"/>
      <c r="H178" s="19">
        <v>61.9</v>
      </c>
      <c r="I178" s="19">
        <v>61.9</v>
      </c>
      <c r="J178" s="10" t="s">
        <v>441</v>
      </c>
      <c r="K178" s="10" t="s">
        <v>441</v>
      </c>
      <c r="L178" s="21" t="s">
        <v>580</v>
      </c>
      <c r="M178" s="17">
        <f t="shared" si="3"/>
        <v>61.9</v>
      </c>
      <c r="N178" s="17">
        <f t="shared" si="2"/>
        <v>61.9</v>
      </c>
      <c r="O178" s="18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ht="15.75" customHeight="1">
      <c r="A179" s="16" t="s">
        <v>311</v>
      </c>
      <c r="B179" s="14">
        <v>1.0</v>
      </c>
      <c r="C179" s="13" t="s">
        <v>315</v>
      </c>
      <c r="D179" s="13" t="s">
        <v>316</v>
      </c>
      <c r="E179" s="13" t="s">
        <v>161</v>
      </c>
      <c r="F179" s="16" t="s">
        <v>317</v>
      </c>
      <c r="G179" s="12"/>
      <c r="H179" s="19">
        <v>351.0</v>
      </c>
      <c r="I179" s="19">
        <v>351.0</v>
      </c>
      <c r="J179" s="10" t="s">
        <v>441</v>
      </c>
      <c r="K179" s="10" t="s">
        <v>546</v>
      </c>
      <c r="L179" s="21" t="s">
        <v>581</v>
      </c>
      <c r="M179" s="17">
        <f t="shared" si="3"/>
        <v>351</v>
      </c>
      <c r="N179" s="17">
        <f t="shared" si="2"/>
        <v>351</v>
      </c>
      <c r="O179" s="18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ht="15.75" customHeight="1">
      <c r="A180" s="16" t="s">
        <v>318</v>
      </c>
      <c r="B180" s="14">
        <v>1.0</v>
      </c>
      <c r="C180" s="13" t="s">
        <v>319</v>
      </c>
      <c r="D180" s="13" t="s">
        <v>320</v>
      </c>
      <c r="E180" s="13" t="s">
        <v>161</v>
      </c>
      <c r="F180" s="16" t="s">
        <v>321</v>
      </c>
      <c r="G180" s="12"/>
      <c r="H180" s="19">
        <v>59.0</v>
      </c>
      <c r="I180" s="19">
        <v>59.0</v>
      </c>
      <c r="J180" s="10" t="s">
        <v>441</v>
      </c>
      <c r="K180" s="10" t="s">
        <v>441</v>
      </c>
      <c r="L180" s="25" t="s">
        <v>582</v>
      </c>
      <c r="M180" s="17">
        <f t="shared" si="3"/>
        <v>59</v>
      </c>
      <c r="N180" s="17">
        <f t="shared" si="2"/>
        <v>59</v>
      </c>
      <c r="O180" s="18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ht="15.75" customHeight="1">
      <c r="A181" s="16" t="s">
        <v>307</v>
      </c>
      <c r="B181" s="14">
        <v>1.0</v>
      </c>
      <c r="C181" s="13" t="s">
        <v>319</v>
      </c>
      <c r="D181" s="13" t="s">
        <v>320</v>
      </c>
      <c r="E181" s="13" t="s">
        <v>161</v>
      </c>
      <c r="F181" s="16" t="s">
        <v>321</v>
      </c>
      <c r="G181" s="12"/>
      <c r="H181" s="19">
        <v>59.0</v>
      </c>
      <c r="I181" s="19">
        <v>59.0</v>
      </c>
      <c r="J181" s="10" t="s">
        <v>441</v>
      </c>
      <c r="K181" s="10" t="s">
        <v>441</v>
      </c>
      <c r="L181" s="25" t="s">
        <v>582</v>
      </c>
      <c r="M181" s="17">
        <f t="shared" si="3"/>
        <v>59</v>
      </c>
      <c r="N181" s="17">
        <f t="shared" si="2"/>
        <v>59</v>
      </c>
      <c r="O181" s="18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ht="15.75" customHeight="1">
      <c r="A182" s="16" t="s">
        <v>301</v>
      </c>
      <c r="B182" s="14">
        <v>1.0</v>
      </c>
      <c r="C182" s="13" t="s">
        <v>319</v>
      </c>
      <c r="D182" s="13" t="s">
        <v>320</v>
      </c>
      <c r="E182" s="13" t="s">
        <v>161</v>
      </c>
      <c r="F182" s="16" t="s">
        <v>321</v>
      </c>
      <c r="G182" s="12"/>
      <c r="H182" s="19">
        <v>59.0</v>
      </c>
      <c r="I182" s="19">
        <v>59.0</v>
      </c>
      <c r="J182" s="10" t="s">
        <v>441</v>
      </c>
      <c r="K182" s="10" t="s">
        <v>441</v>
      </c>
      <c r="L182" s="25" t="s">
        <v>582</v>
      </c>
      <c r="M182" s="17">
        <f t="shared" si="3"/>
        <v>59</v>
      </c>
      <c r="N182" s="17">
        <f t="shared" si="2"/>
        <v>59</v>
      </c>
      <c r="O182" s="18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ht="15.75" customHeight="1">
      <c r="A183" s="16" t="s">
        <v>305</v>
      </c>
      <c r="B183" s="14">
        <v>1.0</v>
      </c>
      <c r="C183" s="13" t="s">
        <v>319</v>
      </c>
      <c r="D183" s="13" t="s">
        <v>320</v>
      </c>
      <c r="E183" s="13" t="s">
        <v>161</v>
      </c>
      <c r="F183" s="16" t="s">
        <v>321</v>
      </c>
      <c r="G183" s="12"/>
      <c r="H183" s="19">
        <v>59.0</v>
      </c>
      <c r="I183" s="19">
        <v>59.0</v>
      </c>
      <c r="J183" s="10" t="s">
        <v>441</v>
      </c>
      <c r="K183" s="10" t="s">
        <v>441</v>
      </c>
      <c r="L183" s="25" t="s">
        <v>582</v>
      </c>
      <c r="M183" s="17">
        <f t="shared" si="3"/>
        <v>59</v>
      </c>
      <c r="N183" s="17">
        <f t="shared" si="2"/>
        <v>59</v>
      </c>
      <c r="O183" s="18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ht="15.75" customHeight="1">
      <c r="A184" s="16" t="s">
        <v>297</v>
      </c>
      <c r="B184" s="14">
        <v>1.0</v>
      </c>
      <c r="C184" s="13" t="s">
        <v>319</v>
      </c>
      <c r="D184" s="13" t="s">
        <v>320</v>
      </c>
      <c r="E184" s="13" t="s">
        <v>161</v>
      </c>
      <c r="F184" s="16" t="s">
        <v>321</v>
      </c>
      <c r="G184" s="12"/>
      <c r="H184" s="19">
        <v>59.0</v>
      </c>
      <c r="I184" s="19">
        <v>59.0</v>
      </c>
      <c r="J184" s="10" t="s">
        <v>441</v>
      </c>
      <c r="K184" s="10" t="s">
        <v>441</v>
      </c>
      <c r="L184" s="25" t="s">
        <v>582</v>
      </c>
      <c r="M184" s="17">
        <f t="shared" si="3"/>
        <v>59</v>
      </c>
      <c r="N184" s="17">
        <f t="shared" si="2"/>
        <v>59</v>
      </c>
      <c r="O184" s="18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ht="15.75" customHeight="1">
      <c r="A185" s="16" t="s">
        <v>306</v>
      </c>
      <c r="B185" s="14">
        <v>1.0</v>
      </c>
      <c r="C185" s="13" t="s">
        <v>319</v>
      </c>
      <c r="D185" s="13" t="s">
        <v>320</v>
      </c>
      <c r="E185" s="13" t="s">
        <v>161</v>
      </c>
      <c r="F185" s="16" t="s">
        <v>321</v>
      </c>
      <c r="G185" s="12"/>
      <c r="H185" s="19">
        <v>59.0</v>
      </c>
      <c r="I185" s="19">
        <v>59.0</v>
      </c>
      <c r="J185" s="10" t="s">
        <v>441</v>
      </c>
      <c r="K185" s="10" t="s">
        <v>441</v>
      </c>
      <c r="L185" s="25" t="s">
        <v>582</v>
      </c>
      <c r="M185" s="17">
        <f t="shared" si="3"/>
        <v>59</v>
      </c>
      <c r="N185" s="17">
        <f t="shared" si="2"/>
        <v>59</v>
      </c>
      <c r="O185" s="18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ht="15.75" customHeight="1">
      <c r="A186" s="16" t="s">
        <v>322</v>
      </c>
      <c r="B186" s="14">
        <v>1.0</v>
      </c>
      <c r="C186" s="13" t="s">
        <v>319</v>
      </c>
      <c r="D186" s="13" t="s">
        <v>320</v>
      </c>
      <c r="E186" s="13" t="s">
        <v>161</v>
      </c>
      <c r="F186" s="16" t="s">
        <v>321</v>
      </c>
      <c r="G186" s="12"/>
      <c r="H186" s="19">
        <v>59.0</v>
      </c>
      <c r="I186" s="19">
        <v>59.0</v>
      </c>
      <c r="J186" s="10" t="s">
        <v>441</v>
      </c>
      <c r="K186" s="10" t="s">
        <v>441</v>
      </c>
      <c r="L186" s="25" t="s">
        <v>582</v>
      </c>
      <c r="M186" s="17">
        <f t="shared" si="3"/>
        <v>59</v>
      </c>
      <c r="N186" s="17">
        <f t="shared" si="2"/>
        <v>59</v>
      </c>
      <c r="O186" s="18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ht="15.75" customHeight="1">
      <c r="A187" s="16" t="s">
        <v>323</v>
      </c>
      <c r="B187" s="14">
        <v>1.0</v>
      </c>
      <c r="C187" s="13" t="s">
        <v>319</v>
      </c>
      <c r="D187" s="13" t="s">
        <v>320</v>
      </c>
      <c r="E187" s="13" t="s">
        <v>161</v>
      </c>
      <c r="F187" s="16" t="s">
        <v>321</v>
      </c>
      <c r="G187" s="12"/>
      <c r="H187" s="19">
        <v>59.0</v>
      </c>
      <c r="I187" s="19">
        <v>59.0</v>
      </c>
      <c r="J187" s="10" t="s">
        <v>441</v>
      </c>
      <c r="K187" s="10" t="s">
        <v>441</v>
      </c>
      <c r="L187" s="25" t="s">
        <v>582</v>
      </c>
      <c r="M187" s="17">
        <f t="shared" si="3"/>
        <v>59</v>
      </c>
      <c r="N187" s="17">
        <f t="shared" si="2"/>
        <v>59</v>
      </c>
      <c r="O187" s="18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ht="15.75" customHeight="1">
      <c r="A188" s="16" t="s">
        <v>324</v>
      </c>
      <c r="B188" s="14">
        <v>1.0</v>
      </c>
      <c r="C188" s="13" t="s">
        <v>319</v>
      </c>
      <c r="D188" s="13" t="s">
        <v>320</v>
      </c>
      <c r="E188" s="13" t="s">
        <v>161</v>
      </c>
      <c r="F188" s="16" t="s">
        <v>321</v>
      </c>
      <c r="G188" s="12"/>
      <c r="H188" s="19">
        <v>59.0</v>
      </c>
      <c r="I188" s="19">
        <v>59.0</v>
      </c>
      <c r="J188" s="10" t="s">
        <v>441</v>
      </c>
      <c r="K188" s="10" t="s">
        <v>441</v>
      </c>
      <c r="L188" s="25" t="s">
        <v>582</v>
      </c>
      <c r="M188" s="17">
        <f t="shared" si="3"/>
        <v>59</v>
      </c>
      <c r="N188" s="17">
        <f t="shared" si="2"/>
        <v>59</v>
      </c>
      <c r="O188" s="18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ht="15.75" customHeight="1">
      <c r="A189" s="16" t="s">
        <v>325</v>
      </c>
      <c r="B189" s="14">
        <v>1.0</v>
      </c>
      <c r="C189" s="13" t="s">
        <v>319</v>
      </c>
      <c r="D189" s="13" t="s">
        <v>320</v>
      </c>
      <c r="E189" s="13" t="s">
        <v>161</v>
      </c>
      <c r="F189" s="16" t="s">
        <v>321</v>
      </c>
      <c r="G189" s="12"/>
      <c r="H189" s="19">
        <v>59.0</v>
      </c>
      <c r="I189" s="19">
        <v>59.0</v>
      </c>
      <c r="J189" s="10" t="s">
        <v>441</v>
      </c>
      <c r="K189" s="10" t="s">
        <v>441</v>
      </c>
      <c r="L189" s="25" t="s">
        <v>582</v>
      </c>
      <c r="M189" s="17">
        <f t="shared" si="3"/>
        <v>59</v>
      </c>
      <c r="N189" s="17">
        <f t="shared" si="2"/>
        <v>59</v>
      </c>
      <c r="O189" s="18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ht="15.75" customHeight="1">
      <c r="A190" s="16" t="s">
        <v>326</v>
      </c>
      <c r="B190" s="14">
        <v>1.0</v>
      </c>
      <c r="C190" s="13" t="s">
        <v>319</v>
      </c>
      <c r="D190" s="13" t="s">
        <v>320</v>
      </c>
      <c r="E190" s="13" t="s">
        <v>161</v>
      </c>
      <c r="F190" s="16" t="s">
        <v>321</v>
      </c>
      <c r="G190" s="12"/>
      <c r="H190" s="19">
        <v>59.0</v>
      </c>
      <c r="I190" s="19">
        <v>59.0</v>
      </c>
      <c r="J190" s="10" t="s">
        <v>441</v>
      </c>
      <c r="K190" s="10" t="s">
        <v>441</v>
      </c>
      <c r="L190" s="25" t="s">
        <v>582</v>
      </c>
      <c r="M190" s="17">
        <f t="shared" si="3"/>
        <v>59</v>
      </c>
      <c r="N190" s="17">
        <f t="shared" si="2"/>
        <v>59</v>
      </c>
      <c r="O190" s="18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ht="15.75" customHeight="1">
      <c r="A191" s="16" t="s">
        <v>327</v>
      </c>
      <c r="B191" s="14">
        <v>1.0</v>
      </c>
      <c r="C191" s="13" t="s">
        <v>319</v>
      </c>
      <c r="D191" s="13" t="s">
        <v>320</v>
      </c>
      <c r="E191" s="13" t="s">
        <v>161</v>
      </c>
      <c r="F191" s="16" t="s">
        <v>321</v>
      </c>
      <c r="G191" s="12"/>
      <c r="H191" s="19">
        <v>59.0</v>
      </c>
      <c r="I191" s="19">
        <v>59.0</v>
      </c>
      <c r="J191" s="10" t="s">
        <v>441</v>
      </c>
      <c r="K191" s="10" t="s">
        <v>441</v>
      </c>
      <c r="L191" s="25" t="s">
        <v>582</v>
      </c>
      <c r="M191" s="17">
        <f t="shared" si="3"/>
        <v>59</v>
      </c>
      <c r="N191" s="17">
        <f t="shared" si="2"/>
        <v>59</v>
      </c>
      <c r="O191" s="18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ht="15.75" customHeight="1">
      <c r="A192" s="16" t="s">
        <v>328</v>
      </c>
      <c r="B192" s="14">
        <v>1.0</v>
      </c>
      <c r="C192" s="13" t="s">
        <v>319</v>
      </c>
      <c r="D192" s="13" t="s">
        <v>320</v>
      </c>
      <c r="E192" s="13" t="s">
        <v>161</v>
      </c>
      <c r="F192" s="16" t="s">
        <v>321</v>
      </c>
      <c r="G192" s="12"/>
      <c r="H192" s="19">
        <v>59.0</v>
      </c>
      <c r="I192" s="19">
        <v>59.0</v>
      </c>
      <c r="J192" s="10" t="s">
        <v>441</v>
      </c>
      <c r="K192" s="10" t="s">
        <v>441</v>
      </c>
      <c r="L192" s="25" t="s">
        <v>582</v>
      </c>
      <c r="M192" s="17">
        <f t="shared" si="3"/>
        <v>59</v>
      </c>
      <c r="N192" s="17">
        <f t="shared" si="2"/>
        <v>59</v>
      </c>
      <c r="O192" s="18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ht="15.75" customHeight="1">
      <c r="A193" s="16" t="s">
        <v>329</v>
      </c>
      <c r="B193" s="14">
        <v>1.0</v>
      </c>
      <c r="C193" s="13" t="s">
        <v>319</v>
      </c>
      <c r="D193" s="13" t="s">
        <v>320</v>
      </c>
      <c r="E193" s="13" t="s">
        <v>161</v>
      </c>
      <c r="F193" s="16" t="s">
        <v>321</v>
      </c>
      <c r="G193" s="12"/>
      <c r="H193" s="19">
        <v>59.0</v>
      </c>
      <c r="I193" s="19">
        <v>59.0</v>
      </c>
      <c r="J193" s="10" t="s">
        <v>441</v>
      </c>
      <c r="K193" s="10" t="s">
        <v>441</v>
      </c>
      <c r="L193" s="25" t="s">
        <v>582</v>
      </c>
      <c r="M193" s="17">
        <f t="shared" si="3"/>
        <v>59</v>
      </c>
      <c r="N193" s="17">
        <f t="shared" si="2"/>
        <v>59</v>
      </c>
      <c r="O193" s="18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ht="15.75" customHeight="1">
      <c r="A194" s="16" t="s">
        <v>330</v>
      </c>
      <c r="B194" s="14">
        <v>1.0</v>
      </c>
      <c r="C194" s="13" t="s">
        <v>319</v>
      </c>
      <c r="D194" s="13" t="s">
        <v>320</v>
      </c>
      <c r="E194" s="13" t="s">
        <v>161</v>
      </c>
      <c r="F194" s="16" t="s">
        <v>321</v>
      </c>
      <c r="G194" s="12"/>
      <c r="H194" s="19">
        <v>59.0</v>
      </c>
      <c r="I194" s="19">
        <v>59.0</v>
      </c>
      <c r="J194" s="10" t="s">
        <v>441</v>
      </c>
      <c r="K194" s="10" t="s">
        <v>441</v>
      </c>
      <c r="L194" s="25" t="s">
        <v>582</v>
      </c>
      <c r="M194" s="17">
        <f t="shared" si="3"/>
        <v>59</v>
      </c>
      <c r="N194" s="17">
        <f t="shared" si="2"/>
        <v>59</v>
      </c>
      <c r="O194" s="18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ht="15.75" customHeight="1">
      <c r="A195" s="16" t="s">
        <v>331</v>
      </c>
      <c r="B195" s="14">
        <v>1.0</v>
      </c>
      <c r="C195" s="13" t="s">
        <v>319</v>
      </c>
      <c r="D195" s="13" t="s">
        <v>320</v>
      </c>
      <c r="E195" s="13" t="s">
        <v>161</v>
      </c>
      <c r="F195" s="16" t="s">
        <v>321</v>
      </c>
      <c r="G195" s="12"/>
      <c r="H195" s="19">
        <v>59.0</v>
      </c>
      <c r="I195" s="19">
        <v>59.0</v>
      </c>
      <c r="J195" s="10" t="s">
        <v>441</v>
      </c>
      <c r="K195" s="10" t="s">
        <v>441</v>
      </c>
      <c r="L195" s="25" t="s">
        <v>582</v>
      </c>
      <c r="M195" s="17">
        <f t="shared" si="3"/>
        <v>59</v>
      </c>
      <c r="N195" s="17">
        <f t="shared" si="2"/>
        <v>59</v>
      </c>
      <c r="O195" s="18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ht="15.75" customHeight="1">
      <c r="A196" s="16" t="s">
        <v>332</v>
      </c>
      <c r="B196" s="14">
        <v>1.0</v>
      </c>
      <c r="C196" s="13" t="s">
        <v>319</v>
      </c>
      <c r="D196" s="13" t="s">
        <v>320</v>
      </c>
      <c r="E196" s="13" t="s">
        <v>161</v>
      </c>
      <c r="F196" s="16" t="s">
        <v>321</v>
      </c>
      <c r="G196" s="12"/>
      <c r="H196" s="19">
        <v>59.0</v>
      </c>
      <c r="I196" s="19">
        <v>59.0</v>
      </c>
      <c r="J196" s="10" t="s">
        <v>441</v>
      </c>
      <c r="K196" s="10" t="s">
        <v>441</v>
      </c>
      <c r="L196" s="25" t="s">
        <v>582</v>
      </c>
      <c r="M196" s="17">
        <f t="shared" si="3"/>
        <v>59</v>
      </c>
      <c r="N196" s="17">
        <f t="shared" si="2"/>
        <v>59</v>
      </c>
      <c r="O196" s="18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ht="15.75" customHeight="1">
      <c r="A197" s="16" t="s">
        <v>333</v>
      </c>
      <c r="B197" s="14">
        <v>1.0</v>
      </c>
      <c r="C197" s="13" t="s">
        <v>319</v>
      </c>
      <c r="D197" s="13" t="s">
        <v>320</v>
      </c>
      <c r="E197" s="13" t="s">
        <v>161</v>
      </c>
      <c r="F197" s="16" t="s">
        <v>321</v>
      </c>
      <c r="G197" s="12"/>
      <c r="H197" s="19">
        <v>59.0</v>
      </c>
      <c r="I197" s="19">
        <v>59.0</v>
      </c>
      <c r="J197" s="10" t="s">
        <v>441</v>
      </c>
      <c r="K197" s="10" t="s">
        <v>441</v>
      </c>
      <c r="L197" s="25" t="s">
        <v>582</v>
      </c>
      <c r="M197" s="17">
        <f t="shared" si="3"/>
        <v>59</v>
      </c>
      <c r="N197" s="17">
        <f t="shared" si="2"/>
        <v>59</v>
      </c>
      <c r="O197" s="18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ht="15.75" customHeight="1">
      <c r="A198" s="16" t="s">
        <v>334</v>
      </c>
      <c r="B198" s="14">
        <v>1.0</v>
      </c>
      <c r="C198" s="13" t="s">
        <v>319</v>
      </c>
      <c r="D198" s="13" t="s">
        <v>320</v>
      </c>
      <c r="E198" s="13" t="s">
        <v>161</v>
      </c>
      <c r="F198" s="16" t="s">
        <v>321</v>
      </c>
      <c r="G198" s="12"/>
      <c r="H198" s="19">
        <v>59.0</v>
      </c>
      <c r="I198" s="19">
        <v>59.0</v>
      </c>
      <c r="J198" s="10" t="s">
        <v>441</v>
      </c>
      <c r="K198" s="10" t="s">
        <v>441</v>
      </c>
      <c r="L198" s="25" t="s">
        <v>582</v>
      </c>
      <c r="M198" s="17">
        <f t="shared" si="3"/>
        <v>59</v>
      </c>
      <c r="N198" s="17">
        <f t="shared" si="2"/>
        <v>59</v>
      </c>
      <c r="O198" s="18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ht="15.75" customHeight="1">
      <c r="A199" s="16" t="s">
        <v>335</v>
      </c>
      <c r="B199" s="14">
        <v>1.0</v>
      </c>
      <c r="C199" s="13" t="s">
        <v>319</v>
      </c>
      <c r="D199" s="13" t="s">
        <v>320</v>
      </c>
      <c r="E199" s="13" t="s">
        <v>161</v>
      </c>
      <c r="F199" s="16" t="s">
        <v>321</v>
      </c>
      <c r="G199" s="12"/>
      <c r="H199" s="19">
        <v>59.0</v>
      </c>
      <c r="I199" s="19">
        <v>59.0</v>
      </c>
      <c r="J199" s="10" t="s">
        <v>441</v>
      </c>
      <c r="K199" s="10" t="s">
        <v>441</v>
      </c>
      <c r="L199" s="25" t="s">
        <v>582</v>
      </c>
      <c r="M199" s="17">
        <f t="shared" si="3"/>
        <v>59</v>
      </c>
      <c r="N199" s="17">
        <f t="shared" si="2"/>
        <v>59</v>
      </c>
      <c r="O199" s="18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ht="15.75" customHeight="1">
      <c r="A200" s="16" t="s">
        <v>336</v>
      </c>
      <c r="B200" s="14">
        <v>1.0</v>
      </c>
      <c r="C200" s="13" t="s">
        <v>319</v>
      </c>
      <c r="D200" s="13" t="s">
        <v>320</v>
      </c>
      <c r="E200" s="13" t="s">
        <v>161</v>
      </c>
      <c r="F200" s="16" t="s">
        <v>321</v>
      </c>
      <c r="G200" s="12"/>
      <c r="H200" s="19">
        <v>59.0</v>
      </c>
      <c r="I200" s="19">
        <v>59.0</v>
      </c>
      <c r="J200" s="10" t="s">
        <v>441</v>
      </c>
      <c r="K200" s="10" t="s">
        <v>441</v>
      </c>
      <c r="L200" s="25" t="s">
        <v>582</v>
      </c>
      <c r="M200" s="17">
        <f t="shared" si="3"/>
        <v>59</v>
      </c>
      <c r="N200" s="17">
        <f t="shared" si="2"/>
        <v>59</v>
      </c>
      <c r="O200" s="18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ht="15.75" customHeight="1">
      <c r="A201" s="16" t="s">
        <v>337</v>
      </c>
      <c r="B201" s="14">
        <v>1.0</v>
      </c>
      <c r="C201" s="13" t="s">
        <v>319</v>
      </c>
      <c r="D201" s="13" t="s">
        <v>320</v>
      </c>
      <c r="E201" s="13" t="s">
        <v>161</v>
      </c>
      <c r="F201" s="16" t="s">
        <v>321</v>
      </c>
      <c r="G201" s="12"/>
      <c r="H201" s="19">
        <v>59.0</v>
      </c>
      <c r="I201" s="19">
        <v>59.0</v>
      </c>
      <c r="J201" s="10" t="s">
        <v>441</v>
      </c>
      <c r="K201" s="10" t="s">
        <v>441</v>
      </c>
      <c r="L201" s="25" t="s">
        <v>582</v>
      </c>
      <c r="M201" s="17">
        <f t="shared" si="3"/>
        <v>59</v>
      </c>
      <c r="N201" s="17">
        <f t="shared" si="2"/>
        <v>59</v>
      </c>
      <c r="O201" s="18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ht="15.75" customHeight="1">
      <c r="A202" s="16" t="s">
        <v>338</v>
      </c>
      <c r="B202" s="14">
        <v>1.0</v>
      </c>
      <c r="C202" s="13" t="s">
        <v>319</v>
      </c>
      <c r="D202" s="13" t="s">
        <v>320</v>
      </c>
      <c r="E202" s="13" t="s">
        <v>161</v>
      </c>
      <c r="F202" s="16" t="s">
        <v>321</v>
      </c>
      <c r="G202" s="12"/>
      <c r="H202" s="19">
        <v>59.0</v>
      </c>
      <c r="I202" s="19">
        <v>59.0</v>
      </c>
      <c r="J202" s="10" t="s">
        <v>441</v>
      </c>
      <c r="K202" s="10" t="s">
        <v>441</v>
      </c>
      <c r="L202" s="25" t="s">
        <v>582</v>
      </c>
      <c r="M202" s="17">
        <f t="shared" si="3"/>
        <v>59</v>
      </c>
      <c r="N202" s="17">
        <f t="shared" si="2"/>
        <v>59</v>
      </c>
      <c r="O202" s="18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ht="15.75" customHeight="1">
      <c r="A203" s="16" t="s">
        <v>339</v>
      </c>
      <c r="B203" s="14">
        <v>1.0</v>
      </c>
      <c r="C203" s="13" t="s">
        <v>340</v>
      </c>
      <c r="D203" s="13" t="s">
        <v>341</v>
      </c>
      <c r="E203" s="13" t="s">
        <v>161</v>
      </c>
      <c r="F203" s="16" t="s">
        <v>342</v>
      </c>
      <c r="G203" s="12"/>
      <c r="H203" s="19">
        <v>44.0</v>
      </c>
      <c r="I203" s="19">
        <v>44.0</v>
      </c>
      <c r="J203" s="10" t="s">
        <v>441</v>
      </c>
      <c r="K203" s="10" t="s">
        <v>441</v>
      </c>
      <c r="L203" s="21" t="s">
        <v>583</v>
      </c>
      <c r="M203" s="17">
        <f t="shared" si="3"/>
        <v>44</v>
      </c>
      <c r="N203" s="17">
        <f t="shared" si="2"/>
        <v>44</v>
      </c>
      <c r="O203" s="18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ht="15.75" customHeight="1">
      <c r="A204" s="16" t="s">
        <v>343</v>
      </c>
      <c r="B204" s="14">
        <v>1.0</v>
      </c>
      <c r="C204" s="13" t="s">
        <v>344</v>
      </c>
      <c r="D204" s="13" t="s">
        <v>345</v>
      </c>
      <c r="E204" s="13" t="s">
        <v>161</v>
      </c>
      <c r="F204" s="16" t="s">
        <v>346</v>
      </c>
      <c r="G204" s="12"/>
      <c r="H204" s="19">
        <v>102.5</v>
      </c>
      <c r="I204" s="19">
        <v>102.5</v>
      </c>
      <c r="J204" s="10" t="s">
        <v>441</v>
      </c>
      <c r="K204" s="10" t="s">
        <v>441</v>
      </c>
      <c r="L204" s="21" t="s">
        <v>584</v>
      </c>
      <c r="M204" s="17">
        <f t="shared" si="3"/>
        <v>102.5</v>
      </c>
      <c r="N204" s="17">
        <f t="shared" si="2"/>
        <v>102.5</v>
      </c>
      <c r="O204" s="18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ht="15.75" customHeight="1">
      <c r="A205" s="16" t="s">
        <v>347</v>
      </c>
      <c r="B205" s="14">
        <v>1.0</v>
      </c>
      <c r="C205" s="13" t="s">
        <v>344</v>
      </c>
      <c r="D205" s="13" t="s">
        <v>345</v>
      </c>
      <c r="E205" s="13" t="s">
        <v>161</v>
      </c>
      <c r="F205" s="16" t="s">
        <v>346</v>
      </c>
      <c r="G205" s="12"/>
      <c r="H205" s="19">
        <v>102.5</v>
      </c>
      <c r="I205" s="19">
        <v>102.5</v>
      </c>
      <c r="J205" s="10" t="s">
        <v>441</v>
      </c>
      <c r="K205" s="10" t="s">
        <v>441</v>
      </c>
      <c r="L205" s="21" t="s">
        <v>584</v>
      </c>
      <c r="M205" s="17">
        <f t="shared" si="3"/>
        <v>102.5</v>
      </c>
      <c r="N205" s="17">
        <f t="shared" si="2"/>
        <v>102.5</v>
      </c>
      <c r="O205" s="18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ht="15.75" customHeight="1">
      <c r="A206" s="16" t="s">
        <v>348</v>
      </c>
      <c r="B206" s="14">
        <v>0.0</v>
      </c>
      <c r="C206" s="13" t="s">
        <v>344</v>
      </c>
      <c r="D206" s="13" t="s">
        <v>345</v>
      </c>
      <c r="E206" s="13" t="s">
        <v>161</v>
      </c>
      <c r="F206" s="16" t="s">
        <v>346</v>
      </c>
      <c r="G206" s="12"/>
      <c r="H206" s="19">
        <v>102.5</v>
      </c>
      <c r="I206" s="19">
        <v>102.5</v>
      </c>
      <c r="J206" s="10" t="s">
        <v>441</v>
      </c>
      <c r="K206" s="10" t="s">
        <v>441</v>
      </c>
      <c r="L206" s="21" t="s">
        <v>584</v>
      </c>
      <c r="M206" s="17">
        <f t="shared" si="3"/>
        <v>0</v>
      </c>
      <c r="N206" s="17">
        <f t="shared" si="2"/>
        <v>0</v>
      </c>
      <c r="O206" s="18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ht="15.75" customHeight="1">
      <c r="A207" s="16" t="s">
        <v>318</v>
      </c>
      <c r="B207" s="14">
        <v>1.0</v>
      </c>
      <c r="C207" s="13" t="s">
        <v>349</v>
      </c>
      <c r="D207" s="13" t="s">
        <v>350</v>
      </c>
      <c r="E207" s="13" t="s">
        <v>161</v>
      </c>
      <c r="F207" s="16" t="s">
        <v>351</v>
      </c>
      <c r="G207" s="12"/>
      <c r="H207" s="19">
        <v>302.0</v>
      </c>
      <c r="I207" s="19">
        <v>302.0</v>
      </c>
      <c r="J207" s="10" t="s">
        <v>441</v>
      </c>
      <c r="K207" s="10" t="s">
        <v>441</v>
      </c>
      <c r="L207" s="21" t="s">
        <v>585</v>
      </c>
      <c r="M207" s="17">
        <f t="shared" si="3"/>
        <v>302</v>
      </c>
      <c r="N207" s="17">
        <f t="shared" si="2"/>
        <v>302</v>
      </c>
      <c r="O207" s="18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ht="15.75" customHeight="1">
      <c r="A208" s="16" t="s">
        <v>338</v>
      </c>
      <c r="B208" s="14">
        <v>1.0</v>
      </c>
      <c r="C208" s="13" t="s">
        <v>352</v>
      </c>
      <c r="D208" s="13" t="s">
        <v>353</v>
      </c>
      <c r="E208" s="13" t="s">
        <v>161</v>
      </c>
      <c r="F208" s="16" t="s">
        <v>354</v>
      </c>
      <c r="G208" s="12"/>
      <c r="H208" s="19">
        <v>654.75</v>
      </c>
      <c r="I208" s="19">
        <v>654.75</v>
      </c>
      <c r="J208" s="10" t="s">
        <v>441</v>
      </c>
      <c r="K208" s="10" t="s">
        <v>441</v>
      </c>
      <c r="L208" s="21" t="s">
        <v>586</v>
      </c>
      <c r="M208" s="17">
        <f t="shared" si="3"/>
        <v>654.75</v>
      </c>
      <c r="N208" s="17">
        <f t="shared" si="2"/>
        <v>654.75</v>
      </c>
      <c r="O208" s="18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ht="15.75" customHeight="1">
      <c r="A209" s="16" t="s">
        <v>322</v>
      </c>
      <c r="B209" s="14">
        <v>1.0</v>
      </c>
      <c r="C209" s="13" t="s">
        <v>355</v>
      </c>
      <c r="D209" s="13" t="s">
        <v>356</v>
      </c>
      <c r="E209" s="13" t="s">
        <v>161</v>
      </c>
      <c r="F209" s="16" t="s">
        <v>357</v>
      </c>
      <c r="G209" s="12"/>
      <c r="H209" s="19">
        <v>140.4</v>
      </c>
      <c r="I209" s="19">
        <v>140.4</v>
      </c>
      <c r="J209" s="10" t="s">
        <v>441</v>
      </c>
      <c r="K209" s="10" t="s">
        <v>441</v>
      </c>
      <c r="L209" s="21" t="s">
        <v>587</v>
      </c>
      <c r="M209" s="17">
        <f t="shared" si="3"/>
        <v>140.4</v>
      </c>
      <c r="N209" s="17">
        <f t="shared" si="2"/>
        <v>140.4</v>
      </c>
      <c r="O209" s="18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ht="15.75" customHeight="1">
      <c r="A210" s="16" t="s">
        <v>323</v>
      </c>
      <c r="B210" s="14">
        <v>1.0</v>
      </c>
      <c r="C210" s="13" t="s">
        <v>355</v>
      </c>
      <c r="D210" s="13" t="s">
        <v>356</v>
      </c>
      <c r="E210" s="13" t="s">
        <v>161</v>
      </c>
      <c r="F210" s="16" t="s">
        <v>357</v>
      </c>
      <c r="G210" s="12"/>
      <c r="H210" s="19">
        <v>140.4</v>
      </c>
      <c r="I210" s="19">
        <v>140.4</v>
      </c>
      <c r="J210" s="10" t="s">
        <v>441</v>
      </c>
      <c r="K210" s="10" t="s">
        <v>441</v>
      </c>
      <c r="L210" s="21" t="s">
        <v>587</v>
      </c>
      <c r="M210" s="17">
        <f t="shared" si="3"/>
        <v>140.4</v>
      </c>
      <c r="N210" s="17">
        <f t="shared" si="2"/>
        <v>140.4</v>
      </c>
      <c r="O210" s="18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ht="15.75" customHeight="1">
      <c r="A211" s="16" t="s">
        <v>324</v>
      </c>
      <c r="B211" s="14">
        <v>1.0</v>
      </c>
      <c r="C211" s="13" t="s">
        <v>355</v>
      </c>
      <c r="D211" s="13" t="s">
        <v>356</v>
      </c>
      <c r="E211" s="13" t="s">
        <v>161</v>
      </c>
      <c r="F211" s="16" t="s">
        <v>357</v>
      </c>
      <c r="G211" s="12"/>
      <c r="H211" s="19">
        <v>140.4</v>
      </c>
      <c r="I211" s="19">
        <v>140.4</v>
      </c>
      <c r="J211" s="10" t="s">
        <v>441</v>
      </c>
      <c r="K211" s="10" t="s">
        <v>441</v>
      </c>
      <c r="L211" s="21" t="s">
        <v>587</v>
      </c>
      <c r="M211" s="17">
        <f t="shared" si="3"/>
        <v>140.4</v>
      </c>
      <c r="N211" s="17">
        <f t="shared" si="2"/>
        <v>140.4</v>
      </c>
      <c r="O211" s="18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ht="15.75" customHeight="1">
      <c r="A212" s="16" t="s">
        <v>325</v>
      </c>
      <c r="B212" s="14">
        <v>1.0</v>
      </c>
      <c r="C212" s="13" t="s">
        <v>355</v>
      </c>
      <c r="D212" s="13" t="s">
        <v>356</v>
      </c>
      <c r="E212" s="13" t="s">
        <v>161</v>
      </c>
      <c r="F212" s="16" t="s">
        <v>357</v>
      </c>
      <c r="G212" s="12"/>
      <c r="H212" s="19">
        <v>140.4</v>
      </c>
      <c r="I212" s="19">
        <v>140.4</v>
      </c>
      <c r="J212" s="10" t="s">
        <v>441</v>
      </c>
      <c r="K212" s="10" t="s">
        <v>441</v>
      </c>
      <c r="L212" s="21" t="s">
        <v>587</v>
      </c>
      <c r="M212" s="17">
        <f t="shared" si="3"/>
        <v>140.4</v>
      </c>
      <c r="N212" s="17">
        <f t="shared" si="2"/>
        <v>140.4</v>
      </c>
      <c r="O212" s="18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ht="15.75" customHeight="1">
      <c r="A213" s="16" t="s">
        <v>326</v>
      </c>
      <c r="B213" s="14">
        <v>1.0</v>
      </c>
      <c r="C213" s="13" t="s">
        <v>355</v>
      </c>
      <c r="D213" s="13" t="s">
        <v>356</v>
      </c>
      <c r="E213" s="13" t="s">
        <v>161</v>
      </c>
      <c r="F213" s="16" t="s">
        <v>357</v>
      </c>
      <c r="G213" s="12"/>
      <c r="H213" s="19">
        <v>140.4</v>
      </c>
      <c r="I213" s="19">
        <v>140.4</v>
      </c>
      <c r="J213" s="10" t="s">
        <v>441</v>
      </c>
      <c r="K213" s="10" t="s">
        <v>441</v>
      </c>
      <c r="L213" s="21" t="s">
        <v>587</v>
      </c>
      <c r="M213" s="17">
        <f t="shared" si="3"/>
        <v>140.4</v>
      </c>
      <c r="N213" s="17">
        <f t="shared" si="2"/>
        <v>140.4</v>
      </c>
      <c r="O213" s="18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ht="15.75" customHeight="1">
      <c r="A214" s="16" t="s">
        <v>327</v>
      </c>
      <c r="B214" s="14">
        <v>1.0</v>
      </c>
      <c r="C214" s="13" t="s">
        <v>355</v>
      </c>
      <c r="D214" s="13" t="s">
        <v>356</v>
      </c>
      <c r="E214" s="13" t="s">
        <v>161</v>
      </c>
      <c r="F214" s="16" t="s">
        <v>357</v>
      </c>
      <c r="G214" s="12"/>
      <c r="H214" s="19">
        <v>140.4</v>
      </c>
      <c r="I214" s="19">
        <v>140.4</v>
      </c>
      <c r="J214" s="10" t="s">
        <v>441</v>
      </c>
      <c r="K214" s="10" t="s">
        <v>441</v>
      </c>
      <c r="L214" s="21" t="s">
        <v>587</v>
      </c>
      <c r="M214" s="17">
        <f t="shared" si="3"/>
        <v>140.4</v>
      </c>
      <c r="N214" s="17">
        <f t="shared" si="2"/>
        <v>140.4</v>
      </c>
      <c r="O214" s="18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ht="15.75" customHeight="1">
      <c r="A215" s="16" t="s">
        <v>328</v>
      </c>
      <c r="B215" s="14">
        <v>1.0</v>
      </c>
      <c r="C215" s="13" t="s">
        <v>355</v>
      </c>
      <c r="D215" s="13" t="s">
        <v>356</v>
      </c>
      <c r="E215" s="13" t="s">
        <v>161</v>
      </c>
      <c r="F215" s="16" t="s">
        <v>357</v>
      </c>
      <c r="G215" s="12"/>
      <c r="H215" s="19">
        <v>140.4</v>
      </c>
      <c r="I215" s="19">
        <v>140.4</v>
      </c>
      <c r="J215" s="10" t="s">
        <v>441</v>
      </c>
      <c r="K215" s="10" t="s">
        <v>441</v>
      </c>
      <c r="L215" s="21" t="s">
        <v>587</v>
      </c>
      <c r="M215" s="17">
        <f t="shared" si="3"/>
        <v>140.4</v>
      </c>
      <c r="N215" s="17">
        <f t="shared" si="2"/>
        <v>140.4</v>
      </c>
      <c r="O215" s="18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ht="15.75" customHeight="1">
      <c r="A216" s="16" t="s">
        <v>329</v>
      </c>
      <c r="B216" s="14">
        <v>1.0</v>
      </c>
      <c r="C216" s="13" t="s">
        <v>355</v>
      </c>
      <c r="D216" s="13" t="s">
        <v>356</v>
      </c>
      <c r="E216" s="13" t="s">
        <v>161</v>
      </c>
      <c r="F216" s="16" t="s">
        <v>357</v>
      </c>
      <c r="G216" s="12"/>
      <c r="H216" s="19">
        <v>140.4</v>
      </c>
      <c r="I216" s="19">
        <v>140.4</v>
      </c>
      <c r="J216" s="10" t="s">
        <v>441</v>
      </c>
      <c r="K216" s="10" t="s">
        <v>441</v>
      </c>
      <c r="L216" s="21" t="s">
        <v>587</v>
      </c>
      <c r="M216" s="17">
        <f t="shared" si="3"/>
        <v>140.4</v>
      </c>
      <c r="N216" s="17">
        <f t="shared" si="2"/>
        <v>140.4</v>
      </c>
      <c r="O216" s="18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ht="15.75" customHeight="1">
      <c r="A217" s="16" t="s">
        <v>330</v>
      </c>
      <c r="B217" s="14">
        <v>1.0</v>
      </c>
      <c r="C217" s="13" t="s">
        <v>358</v>
      </c>
      <c r="D217" s="13" t="s">
        <v>359</v>
      </c>
      <c r="E217" s="13" t="s">
        <v>161</v>
      </c>
      <c r="F217" s="16" t="s">
        <v>360</v>
      </c>
      <c r="G217" s="12"/>
      <c r="H217" s="19">
        <v>122.0</v>
      </c>
      <c r="I217" s="19">
        <v>122.0</v>
      </c>
      <c r="J217" s="10" t="s">
        <v>441</v>
      </c>
      <c r="K217" s="10" t="s">
        <v>441</v>
      </c>
      <c r="L217" s="21" t="s">
        <v>588</v>
      </c>
      <c r="M217" s="17">
        <f t="shared" si="3"/>
        <v>122</v>
      </c>
      <c r="N217" s="17">
        <f t="shared" si="2"/>
        <v>122</v>
      </c>
      <c r="O217" s="18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ht="15.75" customHeight="1">
      <c r="A218" s="16" t="s">
        <v>331</v>
      </c>
      <c r="B218" s="14">
        <v>1.0</v>
      </c>
      <c r="C218" s="13" t="s">
        <v>358</v>
      </c>
      <c r="D218" s="13" t="s">
        <v>359</v>
      </c>
      <c r="E218" s="13" t="s">
        <v>161</v>
      </c>
      <c r="F218" s="16" t="s">
        <v>360</v>
      </c>
      <c r="G218" s="12"/>
      <c r="H218" s="19">
        <v>122.0</v>
      </c>
      <c r="I218" s="19">
        <v>122.0</v>
      </c>
      <c r="J218" s="10" t="s">
        <v>441</v>
      </c>
      <c r="K218" s="10" t="s">
        <v>441</v>
      </c>
      <c r="L218" s="21" t="s">
        <v>588</v>
      </c>
      <c r="M218" s="17">
        <f t="shared" si="3"/>
        <v>122</v>
      </c>
      <c r="N218" s="17">
        <f t="shared" si="2"/>
        <v>122</v>
      </c>
      <c r="O218" s="18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ht="15.75" customHeight="1">
      <c r="A219" s="16" t="s">
        <v>332</v>
      </c>
      <c r="B219" s="14">
        <v>1.0</v>
      </c>
      <c r="C219" s="13" t="s">
        <v>358</v>
      </c>
      <c r="D219" s="13" t="s">
        <v>359</v>
      </c>
      <c r="E219" s="13" t="s">
        <v>161</v>
      </c>
      <c r="F219" s="16" t="s">
        <v>360</v>
      </c>
      <c r="G219" s="12"/>
      <c r="H219" s="19">
        <v>122.0</v>
      </c>
      <c r="I219" s="19">
        <v>122.0</v>
      </c>
      <c r="J219" s="10" t="s">
        <v>441</v>
      </c>
      <c r="K219" s="10" t="s">
        <v>441</v>
      </c>
      <c r="L219" s="21" t="s">
        <v>588</v>
      </c>
      <c r="M219" s="17">
        <f t="shared" si="3"/>
        <v>122</v>
      </c>
      <c r="N219" s="17">
        <f t="shared" si="2"/>
        <v>122</v>
      </c>
      <c r="O219" s="18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ht="15.75" customHeight="1">
      <c r="A220" s="16" t="s">
        <v>333</v>
      </c>
      <c r="B220" s="14">
        <v>1.0</v>
      </c>
      <c r="C220" s="13" t="s">
        <v>358</v>
      </c>
      <c r="D220" s="13" t="s">
        <v>359</v>
      </c>
      <c r="E220" s="13" t="s">
        <v>161</v>
      </c>
      <c r="F220" s="16" t="s">
        <v>360</v>
      </c>
      <c r="G220" s="12"/>
      <c r="H220" s="19">
        <v>122.0</v>
      </c>
      <c r="I220" s="19">
        <v>122.0</v>
      </c>
      <c r="J220" s="10" t="s">
        <v>441</v>
      </c>
      <c r="K220" s="10" t="s">
        <v>441</v>
      </c>
      <c r="L220" s="21" t="s">
        <v>588</v>
      </c>
      <c r="M220" s="17">
        <f t="shared" si="3"/>
        <v>122</v>
      </c>
      <c r="N220" s="17">
        <f t="shared" si="2"/>
        <v>122</v>
      </c>
      <c r="O220" s="18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ht="15.75" customHeight="1">
      <c r="A221" s="16" t="s">
        <v>334</v>
      </c>
      <c r="B221" s="14">
        <v>1.0</v>
      </c>
      <c r="C221" s="13" t="s">
        <v>358</v>
      </c>
      <c r="D221" s="13" t="s">
        <v>359</v>
      </c>
      <c r="E221" s="13" t="s">
        <v>161</v>
      </c>
      <c r="F221" s="16" t="s">
        <v>360</v>
      </c>
      <c r="G221" s="12"/>
      <c r="H221" s="19">
        <v>122.0</v>
      </c>
      <c r="I221" s="19">
        <v>122.0</v>
      </c>
      <c r="J221" s="10" t="s">
        <v>441</v>
      </c>
      <c r="K221" s="10" t="s">
        <v>441</v>
      </c>
      <c r="L221" s="21" t="s">
        <v>588</v>
      </c>
      <c r="M221" s="17">
        <f t="shared" si="3"/>
        <v>122</v>
      </c>
      <c r="N221" s="17">
        <f t="shared" si="2"/>
        <v>122</v>
      </c>
      <c r="O221" s="18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ht="15.75" customHeight="1">
      <c r="A222" s="16" t="s">
        <v>335</v>
      </c>
      <c r="B222" s="14">
        <v>1.0</v>
      </c>
      <c r="C222" s="13" t="s">
        <v>358</v>
      </c>
      <c r="D222" s="13" t="s">
        <v>359</v>
      </c>
      <c r="E222" s="13" t="s">
        <v>161</v>
      </c>
      <c r="F222" s="16" t="s">
        <v>360</v>
      </c>
      <c r="G222" s="12"/>
      <c r="H222" s="19">
        <v>122.0</v>
      </c>
      <c r="I222" s="19">
        <v>122.0</v>
      </c>
      <c r="J222" s="10" t="s">
        <v>441</v>
      </c>
      <c r="K222" s="10" t="s">
        <v>441</v>
      </c>
      <c r="L222" s="21" t="s">
        <v>588</v>
      </c>
      <c r="M222" s="17">
        <f t="shared" si="3"/>
        <v>122</v>
      </c>
      <c r="N222" s="17">
        <f t="shared" si="2"/>
        <v>122</v>
      </c>
      <c r="O222" s="18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ht="15.75" customHeight="1">
      <c r="A223" s="16" t="s">
        <v>336</v>
      </c>
      <c r="B223" s="14">
        <v>1.0</v>
      </c>
      <c r="C223" s="13" t="s">
        <v>358</v>
      </c>
      <c r="D223" s="13" t="s">
        <v>359</v>
      </c>
      <c r="E223" s="13" t="s">
        <v>161</v>
      </c>
      <c r="F223" s="16" t="s">
        <v>360</v>
      </c>
      <c r="G223" s="12"/>
      <c r="H223" s="19">
        <v>122.0</v>
      </c>
      <c r="I223" s="19">
        <v>122.0</v>
      </c>
      <c r="J223" s="10" t="s">
        <v>441</v>
      </c>
      <c r="K223" s="10" t="s">
        <v>441</v>
      </c>
      <c r="L223" s="21" t="s">
        <v>588</v>
      </c>
      <c r="M223" s="17">
        <f t="shared" si="3"/>
        <v>122</v>
      </c>
      <c r="N223" s="17">
        <f t="shared" si="2"/>
        <v>122</v>
      </c>
      <c r="O223" s="18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ht="15.75" customHeight="1">
      <c r="A224" s="16" t="s">
        <v>337</v>
      </c>
      <c r="B224" s="14">
        <v>1.0</v>
      </c>
      <c r="C224" s="13" t="s">
        <v>358</v>
      </c>
      <c r="D224" s="13" t="s">
        <v>359</v>
      </c>
      <c r="E224" s="13" t="s">
        <v>161</v>
      </c>
      <c r="F224" s="16" t="s">
        <v>360</v>
      </c>
      <c r="G224" s="12"/>
      <c r="H224" s="19">
        <v>122.0</v>
      </c>
      <c r="I224" s="19">
        <v>122.0</v>
      </c>
      <c r="J224" s="10" t="s">
        <v>441</v>
      </c>
      <c r="K224" s="10" t="s">
        <v>441</v>
      </c>
      <c r="L224" s="21" t="s">
        <v>588</v>
      </c>
      <c r="M224" s="17">
        <f t="shared" si="3"/>
        <v>122</v>
      </c>
      <c r="N224" s="17">
        <f t="shared" si="2"/>
        <v>122</v>
      </c>
      <c r="O224" s="18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ht="15.75" customHeight="1">
      <c r="A225" s="13" t="s">
        <v>361</v>
      </c>
      <c r="B225" s="14">
        <v>1.0</v>
      </c>
      <c r="C225" s="13" t="s">
        <v>362</v>
      </c>
      <c r="D225" s="13" t="s">
        <v>363</v>
      </c>
      <c r="E225" s="13" t="s">
        <v>161</v>
      </c>
      <c r="F225" s="16" t="s">
        <v>364</v>
      </c>
      <c r="G225" s="12"/>
      <c r="H225" s="19">
        <v>214.0</v>
      </c>
      <c r="I225" s="19">
        <v>214.0</v>
      </c>
      <c r="J225" s="10" t="s">
        <v>441</v>
      </c>
      <c r="K225" s="10" t="s">
        <v>441</v>
      </c>
      <c r="L225" s="21" t="s">
        <v>589</v>
      </c>
      <c r="M225" s="17">
        <f t="shared" si="3"/>
        <v>214</v>
      </c>
      <c r="N225" s="17">
        <f t="shared" si="2"/>
        <v>214</v>
      </c>
      <c r="O225" s="18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ht="15.75" customHeight="1">
      <c r="A226" s="16" t="s">
        <v>365</v>
      </c>
      <c r="B226" s="14">
        <v>1.0</v>
      </c>
      <c r="C226" s="13" t="s">
        <v>366</v>
      </c>
      <c r="D226" s="13" t="s">
        <v>367</v>
      </c>
      <c r="E226" s="13" t="s">
        <v>161</v>
      </c>
      <c r="F226" s="16" t="s">
        <v>368</v>
      </c>
      <c r="G226" s="12"/>
      <c r="H226" s="19">
        <v>188.0</v>
      </c>
      <c r="I226" s="19">
        <v>188.0</v>
      </c>
      <c r="J226" s="10" t="s">
        <v>441</v>
      </c>
      <c r="K226" s="10" t="s">
        <v>441</v>
      </c>
      <c r="L226" s="21" t="s">
        <v>590</v>
      </c>
      <c r="M226" s="17">
        <f t="shared" si="3"/>
        <v>188</v>
      </c>
      <c r="N226" s="17">
        <f t="shared" si="2"/>
        <v>188</v>
      </c>
      <c r="O226" s="18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ht="15.75" customHeight="1">
      <c r="A227" s="16" t="s">
        <v>347</v>
      </c>
      <c r="B227" s="14">
        <v>1.0</v>
      </c>
      <c r="C227" s="13" t="s">
        <v>369</v>
      </c>
      <c r="D227" s="13" t="s">
        <v>370</v>
      </c>
      <c r="E227" s="13" t="s">
        <v>161</v>
      </c>
      <c r="F227" s="16" t="s">
        <v>371</v>
      </c>
      <c r="G227" s="12"/>
      <c r="H227" s="19">
        <v>1741.0</v>
      </c>
      <c r="I227" s="19">
        <v>1741.0</v>
      </c>
      <c r="J227" s="10" t="s">
        <v>441</v>
      </c>
      <c r="K227" s="10" t="s">
        <v>441</v>
      </c>
      <c r="L227" s="21" t="s">
        <v>591</v>
      </c>
      <c r="M227" s="17">
        <f t="shared" si="3"/>
        <v>1741</v>
      </c>
      <c r="N227" s="17">
        <f t="shared" si="2"/>
        <v>1741</v>
      </c>
      <c r="O227" s="18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ht="15.75" customHeight="1">
      <c r="A228" s="16" t="s">
        <v>348</v>
      </c>
      <c r="B228" s="14">
        <v>0.0</v>
      </c>
      <c r="C228" s="13" t="s">
        <v>369</v>
      </c>
      <c r="D228" s="13" t="s">
        <v>370</v>
      </c>
      <c r="E228" s="13" t="s">
        <v>161</v>
      </c>
      <c r="F228" s="16" t="s">
        <v>371</v>
      </c>
      <c r="G228" s="12"/>
      <c r="H228" s="19">
        <v>1741.0</v>
      </c>
      <c r="I228" s="19">
        <v>1741.0</v>
      </c>
      <c r="J228" s="10" t="s">
        <v>441</v>
      </c>
      <c r="K228" s="10" t="s">
        <v>441</v>
      </c>
      <c r="L228" s="21" t="s">
        <v>591</v>
      </c>
      <c r="M228" s="17">
        <f t="shared" si="3"/>
        <v>0</v>
      </c>
      <c r="N228" s="17">
        <f t="shared" si="2"/>
        <v>0</v>
      </c>
      <c r="O228" s="18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ht="15.75" customHeight="1">
      <c r="A229" s="16" t="s">
        <v>339</v>
      </c>
      <c r="B229" s="14">
        <v>1.0</v>
      </c>
      <c r="C229" s="13" t="s">
        <v>372</v>
      </c>
      <c r="D229" s="13" t="s">
        <v>373</v>
      </c>
      <c r="E229" s="13" t="s">
        <v>161</v>
      </c>
      <c r="F229" s="16" t="s">
        <v>374</v>
      </c>
      <c r="G229" s="12"/>
      <c r="H229" s="19">
        <v>916.0</v>
      </c>
      <c r="I229" s="19">
        <v>916.0</v>
      </c>
      <c r="J229" s="10" t="s">
        <v>441</v>
      </c>
      <c r="K229" s="10" t="s">
        <v>441</v>
      </c>
      <c r="L229" s="21" t="s">
        <v>592</v>
      </c>
      <c r="M229" s="17">
        <f t="shared" si="3"/>
        <v>916</v>
      </c>
      <c r="N229" s="17">
        <f t="shared" si="2"/>
        <v>916</v>
      </c>
      <c r="O229" s="18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ht="15.75" customHeight="1">
      <c r="A230" s="16" t="s">
        <v>361</v>
      </c>
      <c r="B230" s="14">
        <v>1.0</v>
      </c>
      <c r="C230" s="13" t="s">
        <v>375</v>
      </c>
      <c r="D230" s="13" t="s">
        <v>376</v>
      </c>
      <c r="E230" s="13" t="s">
        <v>161</v>
      </c>
      <c r="F230" s="16" t="s">
        <v>377</v>
      </c>
      <c r="G230" s="12"/>
      <c r="H230" s="19">
        <v>2052.0</v>
      </c>
      <c r="I230" s="19">
        <v>2052.0</v>
      </c>
      <c r="J230" s="10" t="s">
        <v>441</v>
      </c>
      <c r="K230" s="10" t="s">
        <v>441</v>
      </c>
      <c r="L230" s="21" t="s">
        <v>593</v>
      </c>
      <c r="M230" s="17">
        <f t="shared" si="3"/>
        <v>2052</v>
      </c>
      <c r="N230" s="17">
        <f t="shared" si="2"/>
        <v>2052</v>
      </c>
      <c r="O230" s="18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ht="15.75" customHeight="1">
      <c r="A231" s="16" t="s">
        <v>343</v>
      </c>
      <c r="B231" s="14">
        <v>1.0</v>
      </c>
      <c r="C231" s="13" t="s">
        <v>378</v>
      </c>
      <c r="D231" s="13" t="s">
        <v>379</v>
      </c>
      <c r="E231" s="13" t="s">
        <v>161</v>
      </c>
      <c r="F231" s="16" t="s">
        <v>380</v>
      </c>
      <c r="G231" s="12"/>
      <c r="H231" s="19">
        <v>950.4</v>
      </c>
      <c r="I231" s="19">
        <v>950.4</v>
      </c>
      <c r="J231" s="10" t="s">
        <v>441</v>
      </c>
      <c r="K231" s="10" t="s">
        <v>441</v>
      </c>
      <c r="L231" s="21" t="s">
        <v>594</v>
      </c>
      <c r="M231" s="17">
        <f t="shared" si="3"/>
        <v>950.4</v>
      </c>
      <c r="N231" s="17">
        <f t="shared" si="2"/>
        <v>950.4</v>
      </c>
      <c r="O231" s="18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ht="15.75" customHeight="1">
      <c r="A232" s="13" t="s">
        <v>365</v>
      </c>
      <c r="B232" s="14">
        <v>1.0</v>
      </c>
      <c r="C232" s="13" t="s">
        <v>381</v>
      </c>
      <c r="D232" s="13" t="s">
        <v>382</v>
      </c>
      <c r="E232" s="13" t="s">
        <v>161</v>
      </c>
      <c r="F232" s="16" t="s">
        <v>383</v>
      </c>
      <c r="G232" s="12"/>
      <c r="H232" s="19">
        <v>20.01</v>
      </c>
      <c r="I232" s="19">
        <v>20.01</v>
      </c>
      <c r="J232" s="10" t="s">
        <v>441</v>
      </c>
      <c r="K232" s="10" t="s">
        <v>441</v>
      </c>
      <c r="L232" s="21" t="s">
        <v>595</v>
      </c>
      <c r="M232" s="17">
        <f t="shared" si="3"/>
        <v>20.01</v>
      </c>
      <c r="N232" s="17">
        <f t="shared" si="2"/>
        <v>20.01</v>
      </c>
      <c r="O232" s="18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ht="15.75" customHeight="1">
      <c r="A233" s="13" t="s">
        <v>318</v>
      </c>
      <c r="B233" s="14">
        <v>1.0</v>
      </c>
      <c r="C233" s="13" t="s">
        <v>381</v>
      </c>
      <c r="D233" s="13" t="s">
        <v>382</v>
      </c>
      <c r="E233" s="13" t="s">
        <v>161</v>
      </c>
      <c r="F233" s="16" t="s">
        <v>383</v>
      </c>
      <c r="G233" s="12"/>
      <c r="H233" s="19">
        <v>20.01</v>
      </c>
      <c r="I233" s="19">
        <v>20.01</v>
      </c>
      <c r="J233" s="10" t="s">
        <v>441</v>
      </c>
      <c r="K233" s="10" t="s">
        <v>441</v>
      </c>
      <c r="L233" s="21" t="s">
        <v>595</v>
      </c>
      <c r="M233" s="17">
        <f t="shared" si="3"/>
        <v>20.01</v>
      </c>
      <c r="N233" s="17">
        <f t="shared" si="2"/>
        <v>20.01</v>
      </c>
      <c r="O233" s="18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ht="15.75" customHeight="1">
      <c r="A234" s="13" t="s">
        <v>307</v>
      </c>
      <c r="B234" s="14">
        <v>1.0</v>
      </c>
      <c r="C234" s="13" t="s">
        <v>381</v>
      </c>
      <c r="D234" s="13" t="s">
        <v>382</v>
      </c>
      <c r="E234" s="13" t="s">
        <v>161</v>
      </c>
      <c r="F234" s="16" t="s">
        <v>383</v>
      </c>
      <c r="G234" s="12"/>
      <c r="H234" s="19">
        <v>20.01</v>
      </c>
      <c r="I234" s="19">
        <v>20.01</v>
      </c>
      <c r="J234" s="10" t="s">
        <v>441</v>
      </c>
      <c r="K234" s="10" t="s">
        <v>441</v>
      </c>
      <c r="L234" s="21" t="s">
        <v>595</v>
      </c>
      <c r="M234" s="17">
        <f t="shared" si="3"/>
        <v>20.01</v>
      </c>
      <c r="N234" s="17">
        <f t="shared" si="2"/>
        <v>20.01</v>
      </c>
      <c r="O234" s="18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ht="15.75" customHeight="1">
      <c r="A235" s="13" t="s">
        <v>301</v>
      </c>
      <c r="B235" s="14">
        <v>1.0</v>
      </c>
      <c r="C235" s="13" t="s">
        <v>381</v>
      </c>
      <c r="D235" s="13" t="s">
        <v>382</v>
      </c>
      <c r="E235" s="13" t="s">
        <v>161</v>
      </c>
      <c r="F235" s="16" t="s">
        <v>383</v>
      </c>
      <c r="G235" s="12"/>
      <c r="H235" s="19">
        <v>20.01</v>
      </c>
      <c r="I235" s="19">
        <v>20.01</v>
      </c>
      <c r="J235" s="10" t="s">
        <v>441</v>
      </c>
      <c r="K235" s="10" t="s">
        <v>441</v>
      </c>
      <c r="L235" s="21" t="s">
        <v>595</v>
      </c>
      <c r="M235" s="17">
        <f t="shared" si="3"/>
        <v>20.01</v>
      </c>
      <c r="N235" s="17">
        <f t="shared" si="2"/>
        <v>20.01</v>
      </c>
      <c r="O235" s="18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ht="15.75" customHeight="1">
      <c r="A236" s="13" t="s">
        <v>305</v>
      </c>
      <c r="B236" s="14">
        <v>1.0</v>
      </c>
      <c r="C236" s="13" t="s">
        <v>381</v>
      </c>
      <c r="D236" s="13" t="s">
        <v>382</v>
      </c>
      <c r="E236" s="13" t="s">
        <v>161</v>
      </c>
      <c r="F236" s="16" t="s">
        <v>383</v>
      </c>
      <c r="G236" s="12"/>
      <c r="H236" s="19">
        <v>20.01</v>
      </c>
      <c r="I236" s="19">
        <v>20.01</v>
      </c>
      <c r="J236" s="10" t="s">
        <v>441</v>
      </c>
      <c r="K236" s="10" t="s">
        <v>441</v>
      </c>
      <c r="L236" s="21" t="s">
        <v>595</v>
      </c>
      <c r="M236" s="17">
        <f t="shared" si="3"/>
        <v>20.01</v>
      </c>
      <c r="N236" s="17">
        <f t="shared" si="2"/>
        <v>20.01</v>
      </c>
      <c r="O236" s="18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ht="15.75" customHeight="1">
      <c r="A237" s="13" t="s">
        <v>297</v>
      </c>
      <c r="B237" s="14">
        <v>1.0</v>
      </c>
      <c r="C237" s="13" t="s">
        <v>381</v>
      </c>
      <c r="D237" s="13" t="s">
        <v>382</v>
      </c>
      <c r="E237" s="13" t="s">
        <v>161</v>
      </c>
      <c r="F237" s="16" t="s">
        <v>383</v>
      </c>
      <c r="G237" s="12"/>
      <c r="H237" s="19">
        <v>20.01</v>
      </c>
      <c r="I237" s="19">
        <v>20.01</v>
      </c>
      <c r="J237" s="10" t="s">
        <v>441</v>
      </c>
      <c r="K237" s="10" t="s">
        <v>441</v>
      </c>
      <c r="L237" s="21" t="s">
        <v>595</v>
      </c>
      <c r="M237" s="17">
        <f t="shared" si="3"/>
        <v>20.01</v>
      </c>
      <c r="N237" s="17">
        <f t="shared" si="2"/>
        <v>20.01</v>
      </c>
      <c r="O237" s="18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ht="15.75" customHeight="1">
      <c r="A238" s="16" t="s">
        <v>306</v>
      </c>
      <c r="B238" s="14">
        <v>1.0</v>
      </c>
      <c r="C238" s="13" t="s">
        <v>381</v>
      </c>
      <c r="D238" s="13" t="s">
        <v>382</v>
      </c>
      <c r="E238" s="13" t="s">
        <v>161</v>
      </c>
      <c r="F238" s="16" t="s">
        <v>383</v>
      </c>
      <c r="G238" s="12"/>
      <c r="H238" s="19">
        <v>20.01</v>
      </c>
      <c r="I238" s="19">
        <v>20.01</v>
      </c>
      <c r="J238" s="10" t="s">
        <v>441</v>
      </c>
      <c r="K238" s="10" t="s">
        <v>441</v>
      </c>
      <c r="L238" s="21" t="s">
        <v>595</v>
      </c>
      <c r="M238" s="17">
        <f t="shared" si="3"/>
        <v>20.01</v>
      </c>
      <c r="N238" s="17">
        <f t="shared" si="2"/>
        <v>20.01</v>
      </c>
      <c r="O238" s="18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ht="15.75" customHeight="1">
      <c r="A239" s="13" t="s">
        <v>322</v>
      </c>
      <c r="B239" s="14">
        <v>1.0</v>
      </c>
      <c r="C239" s="13" t="s">
        <v>381</v>
      </c>
      <c r="D239" s="13" t="s">
        <v>382</v>
      </c>
      <c r="E239" s="13" t="s">
        <v>161</v>
      </c>
      <c r="F239" s="16" t="s">
        <v>383</v>
      </c>
      <c r="G239" s="12"/>
      <c r="H239" s="19">
        <v>20.01</v>
      </c>
      <c r="I239" s="19">
        <v>20.01</v>
      </c>
      <c r="J239" s="10" t="s">
        <v>441</v>
      </c>
      <c r="K239" s="10" t="s">
        <v>441</v>
      </c>
      <c r="L239" s="21" t="s">
        <v>595</v>
      </c>
      <c r="M239" s="17">
        <f t="shared" si="3"/>
        <v>20.01</v>
      </c>
      <c r="N239" s="17">
        <f t="shared" si="2"/>
        <v>20.01</v>
      </c>
      <c r="O239" s="18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ht="15.75" customHeight="1">
      <c r="A240" s="13" t="s">
        <v>323</v>
      </c>
      <c r="B240" s="14">
        <v>1.0</v>
      </c>
      <c r="C240" s="13" t="s">
        <v>381</v>
      </c>
      <c r="D240" s="13" t="s">
        <v>382</v>
      </c>
      <c r="E240" s="13" t="s">
        <v>161</v>
      </c>
      <c r="F240" s="16" t="s">
        <v>383</v>
      </c>
      <c r="G240" s="12"/>
      <c r="H240" s="19">
        <v>20.01</v>
      </c>
      <c r="I240" s="19">
        <v>20.01</v>
      </c>
      <c r="J240" s="10" t="s">
        <v>441</v>
      </c>
      <c r="K240" s="10" t="s">
        <v>441</v>
      </c>
      <c r="L240" s="21" t="s">
        <v>595</v>
      </c>
      <c r="M240" s="17">
        <f t="shared" si="3"/>
        <v>20.01</v>
      </c>
      <c r="N240" s="17">
        <f t="shared" si="2"/>
        <v>20.01</v>
      </c>
      <c r="O240" s="18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ht="15.75" customHeight="1">
      <c r="A241" s="13" t="s">
        <v>324</v>
      </c>
      <c r="B241" s="14">
        <v>1.0</v>
      </c>
      <c r="C241" s="13" t="s">
        <v>381</v>
      </c>
      <c r="D241" s="13" t="s">
        <v>382</v>
      </c>
      <c r="E241" s="13" t="s">
        <v>161</v>
      </c>
      <c r="F241" s="16" t="s">
        <v>383</v>
      </c>
      <c r="G241" s="12"/>
      <c r="H241" s="19">
        <v>20.01</v>
      </c>
      <c r="I241" s="19">
        <v>20.01</v>
      </c>
      <c r="J241" s="10" t="s">
        <v>441</v>
      </c>
      <c r="K241" s="10" t="s">
        <v>441</v>
      </c>
      <c r="L241" s="21" t="s">
        <v>595</v>
      </c>
      <c r="M241" s="17">
        <f t="shared" si="3"/>
        <v>20.01</v>
      </c>
      <c r="N241" s="17">
        <f t="shared" si="2"/>
        <v>20.01</v>
      </c>
      <c r="O241" s="18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ht="15.75" customHeight="1">
      <c r="A242" s="13" t="s">
        <v>325</v>
      </c>
      <c r="B242" s="14">
        <v>1.0</v>
      </c>
      <c r="C242" s="13" t="s">
        <v>381</v>
      </c>
      <c r="D242" s="13" t="s">
        <v>382</v>
      </c>
      <c r="E242" s="13" t="s">
        <v>161</v>
      </c>
      <c r="F242" s="16" t="s">
        <v>383</v>
      </c>
      <c r="G242" s="12"/>
      <c r="H242" s="19">
        <v>20.01</v>
      </c>
      <c r="I242" s="19">
        <v>20.01</v>
      </c>
      <c r="J242" s="10" t="s">
        <v>441</v>
      </c>
      <c r="K242" s="10" t="s">
        <v>441</v>
      </c>
      <c r="L242" s="21" t="s">
        <v>595</v>
      </c>
      <c r="M242" s="17">
        <f t="shared" si="3"/>
        <v>20.01</v>
      </c>
      <c r="N242" s="17">
        <f t="shared" si="2"/>
        <v>20.01</v>
      </c>
      <c r="O242" s="18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ht="15.75" customHeight="1">
      <c r="A243" s="13" t="s">
        <v>326</v>
      </c>
      <c r="B243" s="14">
        <v>1.0</v>
      </c>
      <c r="C243" s="13" t="s">
        <v>381</v>
      </c>
      <c r="D243" s="13" t="s">
        <v>382</v>
      </c>
      <c r="E243" s="13" t="s">
        <v>161</v>
      </c>
      <c r="F243" s="16" t="s">
        <v>383</v>
      </c>
      <c r="G243" s="12"/>
      <c r="H243" s="19">
        <v>20.01</v>
      </c>
      <c r="I243" s="19">
        <v>20.01</v>
      </c>
      <c r="J243" s="10" t="s">
        <v>441</v>
      </c>
      <c r="K243" s="10" t="s">
        <v>441</v>
      </c>
      <c r="L243" s="21" t="s">
        <v>595</v>
      </c>
      <c r="M243" s="17">
        <f t="shared" si="3"/>
        <v>20.01</v>
      </c>
      <c r="N243" s="17">
        <f t="shared" si="2"/>
        <v>20.01</v>
      </c>
      <c r="O243" s="18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ht="15.75" customHeight="1">
      <c r="A244" s="13" t="s">
        <v>327</v>
      </c>
      <c r="B244" s="14">
        <v>1.0</v>
      </c>
      <c r="C244" s="13" t="s">
        <v>381</v>
      </c>
      <c r="D244" s="13" t="s">
        <v>382</v>
      </c>
      <c r="E244" s="13" t="s">
        <v>161</v>
      </c>
      <c r="F244" s="16" t="s">
        <v>383</v>
      </c>
      <c r="G244" s="12"/>
      <c r="H244" s="19">
        <v>20.01</v>
      </c>
      <c r="I244" s="19">
        <v>20.01</v>
      </c>
      <c r="J244" s="10" t="s">
        <v>441</v>
      </c>
      <c r="K244" s="10" t="s">
        <v>441</v>
      </c>
      <c r="L244" s="21" t="s">
        <v>595</v>
      </c>
      <c r="M244" s="17">
        <f t="shared" si="3"/>
        <v>20.01</v>
      </c>
      <c r="N244" s="17">
        <f t="shared" si="2"/>
        <v>20.01</v>
      </c>
      <c r="O244" s="18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ht="15.75" customHeight="1">
      <c r="A245" s="13" t="s">
        <v>328</v>
      </c>
      <c r="B245" s="14">
        <v>1.0</v>
      </c>
      <c r="C245" s="13" t="s">
        <v>381</v>
      </c>
      <c r="D245" s="13" t="s">
        <v>382</v>
      </c>
      <c r="E245" s="13" t="s">
        <v>161</v>
      </c>
      <c r="F245" s="16" t="s">
        <v>383</v>
      </c>
      <c r="G245" s="12"/>
      <c r="H245" s="19">
        <v>20.01</v>
      </c>
      <c r="I245" s="19">
        <v>20.01</v>
      </c>
      <c r="J245" s="10" t="s">
        <v>441</v>
      </c>
      <c r="K245" s="10" t="s">
        <v>441</v>
      </c>
      <c r="L245" s="21" t="s">
        <v>595</v>
      </c>
      <c r="M245" s="17">
        <f t="shared" si="3"/>
        <v>20.01</v>
      </c>
      <c r="N245" s="17">
        <f t="shared" si="2"/>
        <v>20.01</v>
      </c>
      <c r="O245" s="18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ht="15.75" customHeight="1">
      <c r="A246" s="13" t="s">
        <v>329</v>
      </c>
      <c r="B246" s="14">
        <v>1.0</v>
      </c>
      <c r="C246" s="13" t="s">
        <v>381</v>
      </c>
      <c r="D246" s="13" t="s">
        <v>382</v>
      </c>
      <c r="E246" s="13" t="s">
        <v>161</v>
      </c>
      <c r="F246" s="16" t="s">
        <v>383</v>
      </c>
      <c r="G246" s="12"/>
      <c r="H246" s="19">
        <v>20.01</v>
      </c>
      <c r="I246" s="19">
        <v>20.01</v>
      </c>
      <c r="J246" s="10" t="s">
        <v>441</v>
      </c>
      <c r="K246" s="10" t="s">
        <v>441</v>
      </c>
      <c r="L246" s="21" t="s">
        <v>595</v>
      </c>
      <c r="M246" s="17">
        <f t="shared" si="3"/>
        <v>20.01</v>
      </c>
      <c r="N246" s="17">
        <f t="shared" si="2"/>
        <v>20.01</v>
      </c>
      <c r="O246" s="18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ht="15.75" customHeight="1">
      <c r="A247" s="13" t="s">
        <v>330</v>
      </c>
      <c r="B247" s="14">
        <v>1.0</v>
      </c>
      <c r="C247" s="13" t="s">
        <v>381</v>
      </c>
      <c r="D247" s="13" t="s">
        <v>382</v>
      </c>
      <c r="E247" s="13" t="s">
        <v>161</v>
      </c>
      <c r="F247" s="16" t="s">
        <v>383</v>
      </c>
      <c r="G247" s="12"/>
      <c r="H247" s="19">
        <v>20.01</v>
      </c>
      <c r="I247" s="19">
        <v>20.01</v>
      </c>
      <c r="J247" s="10" t="s">
        <v>441</v>
      </c>
      <c r="K247" s="10" t="s">
        <v>441</v>
      </c>
      <c r="L247" s="21" t="s">
        <v>595</v>
      </c>
      <c r="M247" s="17">
        <f t="shared" si="3"/>
        <v>20.01</v>
      </c>
      <c r="N247" s="17">
        <f t="shared" si="2"/>
        <v>20.01</v>
      </c>
      <c r="O247" s="18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ht="15.75" customHeight="1">
      <c r="A248" s="13" t="s">
        <v>331</v>
      </c>
      <c r="B248" s="14">
        <v>1.0</v>
      </c>
      <c r="C248" s="13" t="s">
        <v>381</v>
      </c>
      <c r="D248" s="13" t="s">
        <v>382</v>
      </c>
      <c r="E248" s="13" t="s">
        <v>161</v>
      </c>
      <c r="F248" s="16" t="s">
        <v>383</v>
      </c>
      <c r="G248" s="12"/>
      <c r="H248" s="19">
        <v>20.01</v>
      </c>
      <c r="I248" s="19">
        <v>20.01</v>
      </c>
      <c r="J248" s="10" t="s">
        <v>441</v>
      </c>
      <c r="K248" s="10" t="s">
        <v>441</v>
      </c>
      <c r="L248" s="21" t="s">
        <v>595</v>
      </c>
      <c r="M248" s="17">
        <f t="shared" si="3"/>
        <v>20.01</v>
      </c>
      <c r="N248" s="17">
        <f t="shared" si="2"/>
        <v>20.01</v>
      </c>
      <c r="O248" s="18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ht="15.75" customHeight="1">
      <c r="A249" s="13" t="s">
        <v>332</v>
      </c>
      <c r="B249" s="14">
        <v>1.0</v>
      </c>
      <c r="C249" s="13" t="s">
        <v>381</v>
      </c>
      <c r="D249" s="13" t="s">
        <v>382</v>
      </c>
      <c r="E249" s="13" t="s">
        <v>161</v>
      </c>
      <c r="F249" s="16" t="s">
        <v>383</v>
      </c>
      <c r="G249" s="12"/>
      <c r="H249" s="19">
        <v>20.01</v>
      </c>
      <c r="I249" s="19">
        <v>20.01</v>
      </c>
      <c r="J249" s="10" t="s">
        <v>441</v>
      </c>
      <c r="K249" s="10" t="s">
        <v>441</v>
      </c>
      <c r="L249" s="21" t="s">
        <v>595</v>
      </c>
      <c r="M249" s="17">
        <f t="shared" si="3"/>
        <v>20.01</v>
      </c>
      <c r="N249" s="17">
        <f t="shared" si="2"/>
        <v>20.01</v>
      </c>
      <c r="O249" s="18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ht="15.75" customHeight="1">
      <c r="A250" s="13" t="s">
        <v>333</v>
      </c>
      <c r="B250" s="14">
        <v>1.0</v>
      </c>
      <c r="C250" s="13" t="s">
        <v>381</v>
      </c>
      <c r="D250" s="13" t="s">
        <v>382</v>
      </c>
      <c r="E250" s="13" t="s">
        <v>161</v>
      </c>
      <c r="F250" s="16" t="s">
        <v>383</v>
      </c>
      <c r="G250" s="12"/>
      <c r="H250" s="19">
        <v>20.01</v>
      </c>
      <c r="I250" s="19">
        <v>20.01</v>
      </c>
      <c r="J250" s="10" t="s">
        <v>441</v>
      </c>
      <c r="K250" s="10" t="s">
        <v>441</v>
      </c>
      <c r="L250" s="21" t="s">
        <v>595</v>
      </c>
      <c r="M250" s="17">
        <f t="shared" si="3"/>
        <v>20.01</v>
      </c>
      <c r="N250" s="17">
        <f t="shared" si="2"/>
        <v>20.01</v>
      </c>
      <c r="O250" s="18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ht="15.75" customHeight="1">
      <c r="A251" s="13" t="s">
        <v>334</v>
      </c>
      <c r="B251" s="14">
        <v>1.0</v>
      </c>
      <c r="C251" s="13" t="s">
        <v>381</v>
      </c>
      <c r="D251" s="13" t="s">
        <v>382</v>
      </c>
      <c r="E251" s="13" t="s">
        <v>161</v>
      </c>
      <c r="F251" s="16" t="s">
        <v>383</v>
      </c>
      <c r="G251" s="12"/>
      <c r="H251" s="19">
        <v>20.01</v>
      </c>
      <c r="I251" s="19">
        <v>20.01</v>
      </c>
      <c r="J251" s="10" t="s">
        <v>441</v>
      </c>
      <c r="K251" s="10" t="s">
        <v>441</v>
      </c>
      <c r="L251" s="21" t="s">
        <v>595</v>
      </c>
      <c r="M251" s="17">
        <f t="shared" si="3"/>
        <v>20.01</v>
      </c>
      <c r="N251" s="17">
        <f t="shared" si="2"/>
        <v>20.01</v>
      </c>
      <c r="O251" s="18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ht="15.75" customHeight="1">
      <c r="A252" s="13" t="s">
        <v>335</v>
      </c>
      <c r="B252" s="14">
        <v>1.0</v>
      </c>
      <c r="C252" s="13" t="s">
        <v>381</v>
      </c>
      <c r="D252" s="13" t="s">
        <v>382</v>
      </c>
      <c r="E252" s="13" t="s">
        <v>161</v>
      </c>
      <c r="F252" s="16" t="s">
        <v>383</v>
      </c>
      <c r="G252" s="12"/>
      <c r="H252" s="19">
        <v>20.01</v>
      </c>
      <c r="I252" s="19">
        <v>20.01</v>
      </c>
      <c r="J252" s="10" t="s">
        <v>441</v>
      </c>
      <c r="K252" s="10" t="s">
        <v>441</v>
      </c>
      <c r="L252" s="21" t="s">
        <v>595</v>
      </c>
      <c r="M252" s="17">
        <f t="shared" si="3"/>
        <v>20.01</v>
      </c>
      <c r="N252" s="17">
        <f t="shared" si="2"/>
        <v>20.01</v>
      </c>
      <c r="O252" s="18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ht="15.75" customHeight="1">
      <c r="A253" s="13" t="s">
        <v>336</v>
      </c>
      <c r="B253" s="14">
        <v>1.0</v>
      </c>
      <c r="C253" s="13" t="s">
        <v>381</v>
      </c>
      <c r="D253" s="13" t="s">
        <v>382</v>
      </c>
      <c r="E253" s="13" t="s">
        <v>161</v>
      </c>
      <c r="F253" s="16" t="s">
        <v>383</v>
      </c>
      <c r="G253" s="12"/>
      <c r="H253" s="19">
        <v>20.01</v>
      </c>
      <c r="I253" s="19">
        <v>20.01</v>
      </c>
      <c r="J253" s="10" t="s">
        <v>441</v>
      </c>
      <c r="K253" s="10" t="s">
        <v>441</v>
      </c>
      <c r="L253" s="21" t="s">
        <v>595</v>
      </c>
      <c r="M253" s="17">
        <f t="shared" si="3"/>
        <v>20.01</v>
      </c>
      <c r="N253" s="17">
        <f t="shared" si="2"/>
        <v>20.01</v>
      </c>
      <c r="O253" s="18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ht="15.75" customHeight="1">
      <c r="A254" s="13" t="s">
        <v>337</v>
      </c>
      <c r="B254" s="14">
        <v>1.0</v>
      </c>
      <c r="C254" s="13" t="s">
        <v>381</v>
      </c>
      <c r="D254" s="13" t="s">
        <v>382</v>
      </c>
      <c r="E254" s="13" t="s">
        <v>161</v>
      </c>
      <c r="F254" s="16" t="s">
        <v>383</v>
      </c>
      <c r="G254" s="12"/>
      <c r="H254" s="19">
        <v>20.01</v>
      </c>
      <c r="I254" s="19">
        <v>20.01</v>
      </c>
      <c r="J254" s="10" t="s">
        <v>441</v>
      </c>
      <c r="K254" s="10" t="s">
        <v>441</v>
      </c>
      <c r="L254" s="21" t="s">
        <v>595</v>
      </c>
      <c r="M254" s="17">
        <f t="shared" si="3"/>
        <v>20.01</v>
      </c>
      <c r="N254" s="17">
        <f t="shared" si="2"/>
        <v>20.01</v>
      </c>
      <c r="O254" s="18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ht="15.75" customHeight="1">
      <c r="A255" s="13" t="s">
        <v>338</v>
      </c>
      <c r="B255" s="14">
        <v>1.0</v>
      </c>
      <c r="C255" s="13" t="s">
        <v>381</v>
      </c>
      <c r="D255" s="13" t="s">
        <v>382</v>
      </c>
      <c r="E255" s="13" t="s">
        <v>161</v>
      </c>
      <c r="F255" s="16" t="s">
        <v>383</v>
      </c>
      <c r="G255" s="12"/>
      <c r="H255" s="19">
        <v>20.01</v>
      </c>
      <c r="I255" s="19">
        <v>20.01</v>
      </c>
      <c r="J255" s="10" t="s">
        <v>441</v>
      </c>
      <c r="K255" s="10" t="s">
        <v>441</v>
      </c>
      <c r="L255" s="21" t="s">
        <v>595</v>
      </c>
      <c r="M255" s="17">
        <f t="shared" si="3"/>
        <v>20.01</v>
      </c>
      <c r="N255" s="17">
        <f t="shared" si="2"/>
        <v>20.01</v>
      </c>
      <c r="O255" s="18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ht="15.75" customHeight="1">
      <c r="A256" s="16" t="s">
        <v>361</v>
      </c>
      <c r="B256" s="14">
        <v>1.0</v>
      </c>
      <c r="C256" s="13" t="s">
        <v>384</v>
      </c>
      <c r="D256" s="13" t="s">
        <v>385</v>
      </c>
      <c r="E256" s="13" t="s">
        <v>161</v>
      </c>
      <c r="F256" s="16" t="s">
        <v>386</v>
      </c>
      <c r="G256" s="12"/>
      <c r="H256" s="19">
        <v>22.5</v>
      </c>
      <c r="I256" s="19">
        <v>22.5</v>
      </c>
      <c r="J256" s="10" t="s">
        <v>441</v>
      </c>
      <c r="K256" s="10" t="s">
        <v>441</v>
      </c>
      <c r="L256" s="21" t="s">
        <v>596</v>
      </c>
      <c r="M256" s="17">
        <f t="shared" si="3"/>
        <v>22.5</v>
      </c>
      <c r="N256" s="17">
        <f t="shared" si="2"/>
        <v>22.5</v>
      </c>
      <c r="O256" s="18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ht="15.75" customHeight="1">
      <c r="A257" s="13" t="s">
        <v>339</v>
      </c>
      <c r="B257" s="14">
        <v>1.0</v>
      </c>
      <c r="C257" s="13" t="s">
        <v>384</v>
      </c>
      <c r="D257" s="13" t="s">
        <v>385</v>
      </c>
      <c r="E257" s="13" t="s">
        <v>161</v>
      </c>
      <c r="F257" s="16" t="s">
        <v>386</v>
      </c>
      <c r="G257" s="12"/>
      <c r="H257" s="19">
        <v>22.5</v>
      </c>
      <c r="I257" s="19">
        <v>22.5</v>
      </c>
      <c r="J257" s="10" t="s">
        <v>441</v>
      </c>
      <c r="K257" s="10" t="s">
        <v>441</v>
      </c>
      <c r="L257" s="21" t="s">
        <v>596</v>
      </c>
      <c r="M257" s="17">
        <f t="shared" si="3"/>
        <v>22.5</v>
      </c>
      <c r="N257" s="17">
        <f t="shared" si="2"/>
        <v>22.5</v>
      </c>
      <c r="O257" s="18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ht="15.75" customHeight="1">
      <c r="A258" s="13" t="s">
        <v>343</v>
      </c>
      <c r="B258" s="14">
        <v>1.0</v>
      </c>
      <c r="C258" s="13" t="s">
        <v>384</v>
      </c>
      <c r="D258" s="13" t="s">
        <v>385</v>
      </c>
      <c r="E258" s="13" t="s">
        <v>161</v>
      </c>
      <c r="F258" s="16" t="s">
        <v>386</v>
      </c>
      <c r="G258" s="12"/>
      <c r="H258" s="19">
        <v>22.5</v>
      </c>
      <c r="I258" s="19">
        <v>22.5</v>
      </c>
      <c r="J258" s="10" t="s">
        <v>441</v>
      </c>
      <c r="K258" s="10" t="s">
        <v>441</v>
      </c>
      <c r="L258" s="21" t="s">
        <v>596</v>
      </c>
      <c r="M258" s="17">
        <f t="shared" si="3"/>
        <v>22.5</v>
      </c>
      <c r="N258" s="17">
        <f t="shared" si="2"/>
        <v>22.5</v>
      </c>
      <c r="O258" s="18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ht="15.75" customHeight="1">
      <c r="A259" s="13" t="s">
        <v>347</v>
      </c>
      <c r="B259" s="14">
        <v>1.0</v>
      </c>
      <c r="C259" s="13" t="s">
        <v>384</v>
      </c>
      <c r="D259" s="13" t="s">
        <v>385</v>
      </c>
      <c r="E259" s="13" t="s">
        <v>161</v>
      </c>
      <c r="F259" s="16" t="s">
        <v>386</v>
      </c>
      <c r="G259" s="12"/>
      <c r="H259" s="19">
        <v>22.5</v>
      </c>
      <c r="I259" s="19">
        <v>22.5</v>
      </c>
      <c r="J259" s="10" t="s">
        <v>441</v>
      </c>
      <c r="K259" s="10" t="s">
        <v>441</v>
      </c>
      <c r="L259" s="21" t="s">
        <v>596</v>
      </c>
      <c r="M259" s="17">
        <f t="shared" si="3"/>
        <v>22.5</v>
      </c>
      <c r="N259" s="17">
        <f t="shared" si="2"/>
        <v>22.5</v>
      </c>
      <c r="O259" s="18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ht="15.75" customHeight="1">
      <c r="A260" s="13" t="s">
        <v>348</v>
      </c>
      <c r="B260" s="14">
        <v>1.0</v>
      </c>
      <c r="C260" s="13" t="s">
        <v>384</v>
      </c>
      <c r="D260" s="13" t="s">
        <v>385</v>
      </c>
      <c r="E260" s="13" t="s">
        <v>161</v>
      </c>
      <c r="F260" s="16" t="s">
        <v>386</v>
      </c>
      <c r="G260" s="12"/>
      <c r="H260" s="19">
        <v>22.5</v>
      </c>
      <c r="I260" s="19">
        <v>22.5</v>
      </c>
      <c r="J260" s="10" t="s">
        <v>441</v>
      </c>
      <c r="K260" s="10" t="s">
        <v>441</v>
      </c>
      <c r="L260" s="21" t="s">
        <v>596</v>
      </c>
      <c r="M260" s="17">
        <f t="shared" si="3"/>
        <v>22.5</v>
      </c>
      <c r="N260" s="17">
        <f t="shared" si="2"/>
        <v>22.5</v>
      </c>
      <c r="O260" s="18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ht="15.75" customHeight="1">
      <c r="A261" s="13" t="s">
        <v>387</v>
      </c>
      <c r="B261" s="14">
        <v>0.0</v>
      </c>
      <c r="C261" s="15"/>
      <c r="D261" s="15"/>
      <c r="E261" s="15"/>
      <c r="F261" s="15"/>
      <c r="G261" s="12"/>
      <c r="H261" s="17"/>
      <c r="I261" s="17"/>
      <c r="J261" s="12"/>
      <c r="K261" s="12"/>
      <c r="L261" s="24"/>
      <c r="M261" s="17">
        <f t="shared" si="3"/>
        <v>0</v>
      </c>
      <c r="N261" s="17">
        <f t="shared" si="2"/>
        <v>0</v>
      </c>
      <c r="O261" s="18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ht="15.75" customHeight="1">
      <c r="A262" s="13" t="s">
        <v>388</v>
      </c>
      <c r="B262" s="14">
        <v>0.0</v>
      </c>
      <c r="C262" s="15"/>
      <c r="D262" s="15"/>
      <c r="E262" s="15"/>
      <c r="F262" s="15"/>
      <c r="G262" s="12"/>
      <c r="H262" s="17"/>
      <c r="I262" s="17"/>
      <c r="J262" s="12"/>
      <c r="K262" s="12"/>
      <c r="L262" s="24"/>
      <c r="M262" s="17">
        <f t="shared" si="3"/>
        <v>0</v>
      </c>
      <c r="N262" s="17">
        <f t="shared" si="2"/>
        <v>0</v>
      </c>
      <c r="O262" s="18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ht="15.75" customHeight="1">
      <c r="A263" s="13" t="s">
        <v>246</v>
      </c>
      <c r="B263" s="14">
        <v>0.0</v>
      </c>
      <c r="C263" s="22"/>
      <c r="D263" s="22"/>
      <c r="E263" s="22"/>
      <c r="F263" s="22"/>
      <c r="G263" s="12"/>
      <c r="H263" s="17"/>
      <c r="I263" s="17"/>
      <c r="J263" s="12"/>
      <c r="K263" s="12"/>
      <c r="L263" s="24"/>
      <c r="M263" s="17">
        <f t="shared" si="3"/>
        <v>0</v>
      </c>
      <c r="N263" s="17">
        <f t="shared" si="2"/>
        <v>0</v>
      </c>
      <c r="O263" s="18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ht="15.75" customHeight="1">
      <c r="A264" s="16" t="s">
        <v>235</v>
      </c>
      <c r="B264" s="14">
        <v>0.0</v>
      </c>
      <c r="C264" s="22"/>
      <c r="D264" s="22"/>
      <c r="E264" s="22"/>
      <c r="F264" s="22"/>
      <c r="G264" s="12"/>
      <c r="H264" s="17"/>
      <c r="I264" s="17"/>
      <c r="J264" s="12"/>
      <c r="K264" s="12"/>
      <c r="L264" s="24"/>
      <c r="M264" s="17">
        <f t="shared" si="3"/>
        <v>0</v>
      </c>
      <c r="N264" s="17">
        <f t="shared" si="2"/>
        <v>0</v>
      </c>
      <c r="O264" s="18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ht="15.75" customHeight="1">
      <c r="A265" s="13" t="s">
        <v>250</v>
      </c>
      <c r="B265" s="14">
        <v>0.0</v>
      </c>
      <c r="C265" s="15"/>
      <c r="D265" s="15"/>
      <c r="E265" s="15"/>
      <c r="F265" s="15"/>
      <c r="G265" s="12"/>
      <c r="H265" s="17"/>
      <c r="I265" s="17"/>
      <c r="J265" s="12"/>
      <c r="K265" s="12"/>
      <c r="L265" s="24"/>
      <c r="M265" s="17">
        <f t="shared" si="3"/>
        <v>0</v>
      </c>
      <c r="N265" s="17">
        <f t="shared" si="2"/>
        <v>0</v>
      </c>
      <c r="O265" s="18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ht="15.75" customHeight="1">
      <c r="A266" s="13" t="s">
        <v>389</v>
      </c>
      <c r="B266" s="14">
        <v>0.0</v>
      </c>
      <c r="C266" s="15"/>
      <c r="D266" s="15"/>
      <c r="E266" s="15"/>
      <c r="F266" s="15"/>
      <c r="G266" s="12"/>
      <c r="H266" s="17"/>
      <c r="I266" s="17"/>
      <c r="J266" s="12"/>
      <c r="K266" s="12"/>
      <c r="L266" s="24"/>
      <c r="M266" s="17">
        <f t="shared" si="3"/>
        <v>0</v>
      </c>
      <c r="N266" s="17">
        <f t="shared" si="2"/>
        <v>0</v>
      </c>
      <c r="O266" s="18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ht="15.75" customHeight="1">
      <c r="A267" s="13" t="s">
        <v>184</v>
      </c>
      <c r="B267" s="14">
        <v>0.0</v>
      </c>
      <c r="C267" s="22"/>
      <c r="D267" s="22"/>
      <c r="E267" s="22"/>
      <c r="F267" s="22"/>
      <c r="G267" s="12"/>
      <c r="H267" s="17"/>
      <c r="I267" s="17"/>
      <c r="J267" s="12"/>
      <c r="K267" s="12"/>
      <c r="L267" s="24"/>
      <c r="M267" s="17">
        <f t="shared" si="3"/>
        <v>0</v>
      </c>
      <c r="N267" s="17">
        <f t="shared" si="2"/>
        <v>0</v>
      </c>
      <c r="O267" s="18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ht="15.75" customHeight="1">
      <c r="A268" s="13" t="s">
        <v>390</v>
      </c>
      <c r="B268" s="14">
        <v>0.0</v>
      </c>
      <c r="C268" s="15"/>
      <c r="D268" s="15"/>
      <c r="E268" s="15"/>
      <c r="F268" s="15"/>
      <c r="G268" s="12"/>
      <c r="H268" s="17"/>
      <c r="I268" s="17"/>
      <c r="J268" s="12"/>
      <c r="K268" s="12"/>
      <c r="L268" s="24"/>
      <c r="M268" s="17">
        <f t="shared" si="3"/>
        <v>0</v>
      </c>
      <c r="N268" s="17">
        <f t="shared" si="2"/>
        <v>0</v>
      </c>
      <c r="O268" s="18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ht="15.75" customHeight="1">
      <c r="A269" s="13" t="s">
        <v>391</v>
      </c>
      <c r="B269" s="14">
        <v>0.0</v>
      </c>
      <c r="C269" s="15"/>
      <c r="D269" s="15"/>
      <c r="E269" s="15"/>
      <c r="F269" s="15"/>
      <c r="G269" s="12"/>
      <c r="H269" s="17"/>
      <c r="I269" s="17"/>
      <c r="J269" s="12"/>
      <c r="K269" s="12"/>
      <c r="L269" s="24"/>
      <c r="M269" s="17">
        <f t="shared" si="3"/>
        <v>0</v>
      </c>
      <c r="N269" s="17">
        <f t="shared" si="2"/>
        <v>0</v>
      </c>
      <c r="O269" s="18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ht="15.75" customHeight="1">
      <c r="A270" s="13" t="s">
        <v>392</v>
      </c>
      <c r="B270" s="14">
        <v>0.0</v>
      </c>
      <c r="C270" s="15"/>
      <c r="D270" s="15"/>
      <c r="E270" s="15"/>
      <c r="F270" s="15"/>
      <c r="G270" s="12"/>
      <c r="H270" s="17"/>
      <c r="I270" s="17"/>
      <c r="J270" s="12"/>
      <c r="K270" s="12"/>
      <c r="L270" s="24"/>
      <c r="M270" s="17">
        <f t="shared" si="3"/>
        <v>0</v>
      </c>
      <c r="N270" s="17">
        <f t="shared" si="2"/>
        <v>0</v>
      </c>
      <c r="O270" s="18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ht="15.75" customHeight="1">
      <c r="A271" s="13" t="s">
        <v>16</v>
      </c>
      <c r="B271" s="14">
        <v>0.0</v>
      </c>
      <c r="C271" s="15"/>
      <c r="D271" s="15"/>
      <c r="E271" s="15"/>
      <c r="F271" s="15"/>
      <c r="G271" s="12"/>
      <c r="H271" s="17"/>
      <c r="I271" s="17"/>
      <c r="J271" s="12"/>
      <c r="K271" s="12"/>
      <c r="L271" s="24"/>
      <c r="M271" s="17">
        <f t="shared" si="3"/>
        <v>0</v>
      </c>
      <c r="N271" s="17">
        <f t="shared" si="2"/>
        <v>0</v>
      </c>
      <c r="O271" s="18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ht="15.75" customHeight="1">
      <c r="A272" s="13" t="s">
        <v>393</v>
      </c>
      <c r="B272" s="14">
        <v>0.0</v>
      </c>
      <c r="C272" s="15"/>
      <c r="D272" s="15"/>
      <c r="E272" s="15"/>
      <c r="F272" s="15"/>
      <c r="G272" s="12"/>
      <c r="H272" s="17"/>
      <c r="I272" s="17"/>
      <c r="J272" s="12"/>
      <c r="K272" s="12"/>
      <c r="L272" s="24"/>
      <c r="M272" s="17">
        <f t="shared" si="3"/>
        <v>0</v>
      </c>
      <c r="N272" s="17">
        <f t="shared" si="2"/>
        <v>0</v>
      </c>
      <c r="O272" s="18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ht="15.75" customHeight="1">
      <c r="A273" s="13" t="s">
        <v>394</v>
      </c>
      <c r="B273" s="14">
        <v>0.0</v>
      </c>
      <c r="C273" s="22"/>
      <c r="D273" s="22"/>
      <c r="E273" s="22"/>
      <c r="F273" s="22"/>
      <c r="G273" s="12"/>
      <c r="H273" s="17"/>
      <c r="I273" s="17"/>
      <c r="J273" s="12"/>
      <c r="K273" s="12"/>
      <c r="L273" s="24"/>
      <c r="M273" s="17">
        <f t="shared" si="3"/>
        <v>0</v>
      </c>
      <c r="N273" s="17">
        <f t="shared" si="2"/>
        <v>0</v>
      </c>
      <c r="O273" s="18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ht="15.75" customHeight="1">
      <c r="A274" s="13" t="s">
        <v>395</v>
      </c>
      <c r="B274" s="14">
        <v>0.0</v>
      </c>
      <c r="C274" s="22"/>
      <c r="D274" s="22"/>
      <c r="E274" s="22"/>
      <c r="F274" s="22"/>
      <c r="G274" s="12"/>
      <c r="H274" s="17"/>
      <c r="I274" s="17"/>
      <c r="J274" s="12"/>
      <c r="K274" s="12"/>
      <c r="L274" s="24"/>
      <c r="M274" s="17">
        <f t="shared" si="3"/>
        <v>0</v>
      </c>
      <c r="N274" s="17">
        <f t="shared" si="2"/>
        <v>0</v>
      </c>
      <c r="O274" s="18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ht="15.75" customHeight="1">
      <c r="A275" s="13" t="s">
        <v>396</v>
      </c>
      <c r="B275" s="14">
        <v>0.0</v>
      </c>
      <c r="C275" s="15"/>
      <c r="D275" s="15"/>
      <c r="E275" s="15"/>
      <c r="F275" s="15"/>
      <c r="G275" s="12"/>
      <c r="H275" s="17"/>
      <c r="I275" s="17"/>
      <c r="J275" s="12"/>
      <c r="K275" s="12"/>
      <c r="L275" s="24"/>
      <c r="M275" s="17">
        <f t="shared" si="3"/>
        <v>0</v>
      </c>
      <c r="N275" s="17">
        <f t="shared" si="2"/>
        <v>0</v>
      </c>
      <c r="O275" s="18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ht="15.75" customHeight="1">
      <c r="A276" s="13" t="s">
        <v>197</v>
      </c>
      <c r="B276" s="14">
        <v>0.0</v>
      </c>
      <c r="C276" s="22"/>
      <c r="D276" s="22"/>
      <c r="E276" s="22"/>
      <c r="F276" s="22"/>
      <c r="G276" s="12"/>
      <c r="H276" s="17"/>
      <c r="I276" s="17"/>
      <c r="J276" s="12"/>
      <c r="K276" s="12"/>
      <c r="L276" s="24"/>
      <c r="M276" s="17">
        <f t="shared" si="3"/>
        <v>0</v>
      </c>
      <c r="N276" s="17">
        <f t="shared" si="2"/>
        <v>0</v>
      </c>
      <c r="O276" s="18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ht="15.75" customHeight="1">
      <c r="A277" s="13" t="s">
        <v>192</v>
      </c>
      <c r="B277" s="14">
        <v>0.0</v>
      </c>
      <c r="C277" s="22"/>
      <c r="D277" s="22"/>
      <c r="E277" s="22"/>
      <c r="F277" s="22"/>
      <c r="G277" s="12"/>
      <c r="H277" s="17"/>
      <c r="I277" s="17"/>
      <c r="J277" s="12"/>
      <c r="K277" s="12"/>
      <c r="L277" s="24"/>
      <c r="M277" s="17">
        <f t="shared" si="3"/>
        <v>0</v>
      </c>
      <c r="N277" s="17">
        <f t="shared" si="2"/>
        <v>0</v>
      </c>
      <c r="O277" s="18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ht="15.75" customHeight="1">
      <c r="A278" s="13" t="s">
        <v>201</v>
      </c>
      <c r="B278" s="14">
        <v>0.0</v>
      </c>
      <c r="C278" s="22"/>
      <c r="D278" s="22"/>
      <c r="E278" s="22"/>
      <c r="F278" s="22"/>
      <c r="G278" s="12"/>
      <c r="H278" s="17"/>
      <c r="I278" s="17"/>
      <c r="J278" s="12"/>
      <c r="K278" s="12"/>
      <c r="L278" s="24"/>
      <c r="M278" s="17">
        <f t="shared" si="3"/>
        <v>0</v>
      </c>
      <c r="N278" s="17">
        <f t="shared" si="2"/>
        <v>0</v>
      </c>
      <c r="O278" s="18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ht="15.75" customHeight="1">
      <c r="A279" s="13" t="s">
        <v>196</v>
      </c>
      <c r="B279" s="14">
        <v>0.0</v>
      </c>
      <c r="C279" s="22"/>
      <c r="D279" s="22"/>
      <c r="E279" s="22"/>
      <c r="F279" s="22"/>
      <c r="G279" s="12"/>
      <c r="H279" s="17"/>
      <c r="I279" s="17"/>
      <c r="J279" s="12"/>
      <c r="K279" s="12"/>
      <c r="L279" s="24"/>
      <c r="M279" s="17">
        <f t="shared" si="3"/>
        <v>0</v>
      </c>
      <c r="N279" s="17">
        <f t="shared" si="2"/>
        <v>0</v>
      </c>
      <c r="O279" s="18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ht="15.75" customHeight="1">
      <c r="A280" s="13" t="s">
        <v>397</v>
      </c>
      <c r="B280" s="14">
        <v>0.0</v>
      </c>
      <c r="C280" s="22"/>
      <c r="D280" s="22"/>
      <c r="E280" s="22"/>
      <c r="F280" s="22"/>
      <c r="G280" s="12"/>
      <c r="H280" s="17"/>
      <c r="I280" s="17"/>
      <c r="J280" s="12"/>
      <c r="K280" s="12"/>
      <c r="L280" s="24"/>
      <c r="M280" s="17">
        <f t="shared" si="3"/>
        <v>0</v>
      </c>
      <c r="N280" s="17">
        <f t="shared" si="2"/>
        <v>0</v>
      </c>
      <c r="O280" s="18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ht="15.75" customHeight="1">
      <c r="A281" s="13" t="s">
        <v>398</v>
      </c>
      <c r="B281" s="14">
        <v>0.0</v>
      </c>
      <c r="C281" s="22"/>
      <c r="D281" s="22"/>
      <c r="E281" s="22"/>
      <c r="F281" s="22"/>
      <c r="G281" s="12"/>
      <c r="H281" s="17"/>
      <c r="I281" s="17"/>
      <c r="J281" s="12"/>
      <c r="K281" s="12"/>
      <c r="L281" s="24"/>
      <c r="M281" s="17">
        <f t="shared" si="3"/>
        <v>0</v>
      </c>
      <c r="N281" s="17">
        <f t="shared" si="2"/>
        <v>0</v>
      </c>
      <c r="O281" s="18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ht="15.75" customHeight="1">
      <c r="A282" s="13" t="s">
        <v>399</v>
      </c>
      <c r="B282" s="14">
        <v>0.0</v>
      </c>
      <c r="C282" s="22"/>
      <c r="D282" s="22"/>
      <c r="E282" s="22"/>
      <c r="F282" s="22"/>
      <c r="G282" s="12"/>
      <c r="H282" s="17"/>
      <c r="I282" s="17"/>
      <c r="J282" s="12"/>
      <c r="K282" s="12"/>
      <c r="L282" s="24"/>
      <c r="M282" s="17">
        <f t="shared" si="3"/>
        <v>0</v>
      </c>
      <c r="N282" s="17">
        <f t="shared" si="2"/>
        <v>0</v>
      </c>
      <c r="O282" s="18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ht="15.75" customHeight="1">
      <c r="A283" s="13" t="s">
        <v>400</v>
      </c>
      <c r="B283" s="14">
        <v>1.0</v>
      </c>
      <c r="C283" s="22"/>
      <c r="D283" s="22"/>
      <c r="E283" s="22"/>
      <c r="F283" s="16" t="s">
        <v>401</v>
      </c>
      <c r="G283" s="12"/>
      <c r="H283" s="19">
        <v>274.65</v>
      </c>
      <c r="I283" s="19">
        <v>274.65</v>
      </c>
      <c r="J283" s="10" t="s">
        <v>441</v>
      </c>
      <c r="K283" s="10" t="s">
        <v>546</v>
      </c>
      <c r="L283" s="21" t="s">
        <v>597</v>
      </c>
      <c r="M283" s="17">
        <f t="shared" si="3"/>
        <v>274.65</v>
      </c>
      <c r="N283" s="17">
        <f t="shared" si="2"/>
        <v>274.65</v>
      </c>
      <c r="O283" s="18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ht="15.75" customHeight="1">
      <c r="A284" s="13" t="s">
        <v>402</v>
      </c>
      <c r="B284" s="14">
        <v>0.0</v>
      </c>
      <c r="C284" s="22"/>
      <c r="D284" s="22"/>
      <c r="E284" s="22"/>
      <c r="F284" s="22"/>
      <c r="G284" s="12"/>
      <c r="H284" s="17"/>
      <c r="I284" s="17"/>
      <c r="J284" s="12"/>
      <c r="K284" s="12"/>
      <c r="L284" s="24"/>
      <c r="M284" s="17">
        <f t="shared" si="3"/>
        <v>0</v>
      </c>
      <c r="N284" s="17">
        <f t="shared" si="2"/>
        <v>0</v>
      </c>
      <c r="O284" s="18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ht="15.75" customHeight="1">
      <c r="A285" s="13" t="s">
        <v>403</v>
      </c>
      <c r="B285" s="14">
        <v>0.0</v>
      </c>
      <c r="C285" s="22"/>
      <c r="D285" s="22"/>
      <c r="E285" s="22"/>
      <c r="F285" s="22"/>
      <c r="G285" s="12"/>
      <c r="H285" s="17"/>
      <c r="I285" s="17"/>
      <c r="J285" s="12"/>
      <c r="K285" s="12"/>
      <c r="L285" s="24"/>
      <c r="M285" s="17">
        <f t="shared" si="3"/>
        <v>0</v>
      </c>
      <c r="N285" s="17">
        <f t="shared" si="2"/>
        <v>0</v>
      </c>
      <c r="O285" s="18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ht="15.75" customHeight="1">
      <c r="A286" s="13" t="s">
        <v>404</v>
      </c>
      <c r="B286" s="14">
        <v>0.0</v>
      </c>
      <c r="C286" s="15"/>
      <c r="D286" s="15"/>
      <c r="E286" s="15"/>
      <c r="F286" s="15"/>
      <c r="G286" s="12"/>
      <c r="H286" s="17"/>
      <c r="I286" s="17"/>
      <c r="J286" s="12"/>
      <c r="K286" s="12"/>
      <c r="L286" s="24"/>
      <c r="M286" s="17">
        <f t="shared" si="3"/>
        <v>0</v>
      </c>
      <c r="N286" s="17">
        <f t="shared" si="2"/>
        <v>0</v>
      </c>
      <c r="O286" s="18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ht="15.75" customHeight="1">
      <c r="A287" s="13" t="s">
        <v>405</v>
      </c>
      <c r="B287" s="14">
        <v>0.0</v>
      </c>
      <c r="C287" s="15"/>
      <c r="D287" s="15"/>
      <c r="E287" s="15"/>
      <c r="F287" s="15"/>
      <c r="G287" s="12"/>
      <c r="H287" s="17"/>
      <c r="I287" s="17"/>
      <c r="J287" s="12"/>
      <c r="K287" s="12"/>
      <c r="L287" s="24"/>
      <c r="M287" s="17">
        <f t="shared" si="3"/>
        <v>0</v>
      </c>
      <c r="N287" s="17">
        <f t="shared" si="2"/>
        <v>0</v>
      </c>
      <c r="O287" s="18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ht="15.75" customHeight="1">
      <c r="A288" s="13" t="s">
        <v>406</v>
      </c>
      <c r="B288" s="14">
        <v>0.0</v>
      </c>
      <c r="C288" s="15"/>
      <c r="D288" s="15"/>
      <c r="E288" s="15"/>
      <c r="F288" s="15"/>
      <c r="G288" s="12"/>
      <c r="H288" s="17"/>
      <c r="I288" s="17"/>
      <c r="J288" s="12"/>
      <c r="K288" s="12"/>
      <c r="L288" s="24"/>
      <c r="M288" s="17">
        <f t="shared" si="3"/>
        <v>0</v>
      </c>
      <c r="N288" s="17">
        <f t="shared" si="2"/>
        <v>0</v>
      </c>
      <c r="O288" s="18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ht="15.75" customHeight="1">
      <c r="A289" s="13" t="s">
        <v>407</v>
      </c>
      <c r="B289" s="14">
        <v>0.0</v>
      </c>
      <c r="C289" s="15"/>
      <c r="D289" s="15"/>
      <c r="E289" s="15"/>
      <c r="F289" s="15"/>
      <c r="G289" s="12"/>
      <c r="H289" s="17"/>
      <c r="I289" s="17"/>
      <c r="J289" s="12"/>
      <c r="K289" s="12"/>
      <c r="L289" s="24"/>
      <c r="M289" s="17">
        <f t="shared" si="3"/>
        <v>0</v>
      </c>
      <c r="N289" s="17">
        <f t="shared" si="2"/>
        <v>0</v>
      </c>
      <c r="O289" s="18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ht="15.75" customHeight="1">
      <c r="A290" s="13" t="s">
        <v>408</v>
      </c>
      <c r="B290" s="14">
        <v>0.0</v>
      </c>
      <c r="C290" s="15"/>
      <c r="D290" s="15"/>
      <c r="E290" s="15"/>
      <c r="F290" s="15"/>
      <c r="G290" s="12"/>
      <c r="H290" s="17"/>
      <c r="I290" s="17"/>
      <c r="J290" s="12"/>
      <c r="K290" s="12"/>
      <c r="L290" s="24"/>
      <c r="M290" s="17">
        <f t="shared" si="3"/>
        <v>0</v>
      </c>
      <c r="N290" s="17">
        <f t="shared" si="2"/>
        <v>0</v>
      </c>
      <c r="O290" s="18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ht="15.75" customHeight="1">
      <c r="A291" s="13" t="s">
        <v>409</v>
      </c>
      <c r="B291" s="14">
        <v>0.0</v>
      </c>
      <c r="C291" s="15"/>
      <c r="D291" s="15"/>
      <c r="E291" s="15"/>
      <c r="F291" s="15"/>
      <c r="G291" s="12"/>
      <c r="H291" s="17"/>
      <c r="I291" s="17"/>
      <c r="J291" s="12"/>
      <c r="K291" s="12"/>
      <c r="L291" s="24"/>
      <c r="M291" s="17">
        <f t="shared" si="3"/>
        <v>0</v>
      </c>
      <c r="N291" s="17">
        <f t="shared" si="2"/>
        <v>0</v>
      </c>
      <c r="O291" s="18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ht="15.75" customHeight="1">
      <c r="A292" s="13" t="s">
        <v>410</v>
      </c>
      <c r="B292" s="14">
        <v>0.0</v>
      </c>
      <c r="C292" s="15"/>
      <c r="D292" s="15"/>
      <c r="E292" s="15"/>
      <c r="F292" s="15"/>
      <c r="G292" s="12"/>
      <c r="H292" s="17"/>
      <c r="I292" s="17"/>
      <c r="J292" s="12"/>
      <c r="K292" s="12"/>
      <c r="L292" s="24"/>
      <c r="M292" s="17">
        <f t="shared" si="3"/>
        <v>0</v>
      </c>
      <c r="N292" s="17">
        <f t="shared" si="2"/>
        <v>0</v>
      </c>
      <c r="O292" s="18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ht="15.75" customHeight="1">
      <c r="A293" s="13" t="s">
        <v>411</v>
      </c>
      <c r="B293" s="14">
        <v>0.0</v>
      </c>
      <c r="C293" s="15"/>
      <c r="D293" s="15"/>
      <c r="E293" s="15"/>
      <c r="F293" s="15"/>
      <c r="G293" s="12"/>
      <c r="H293" s="17"/>
      <c r="I293" s="17"/>
      <c r="J293" s="12"/>
      <c r="K293" s="12"/>
      <c r="L293" s="24"/>
      <c r="M293" s="17">
        <f t="shared" si="3"/>
        <v>0</v>
      </c>
      <c r="N293" s="17">
        <f t="shared" si="2"/>
        <v>0</v>
      </c>
      <c r="O293" s="18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ht="15.75" customHeight="1">
      <c r="A294" s="13" t="s">
        <v>412</v>
      </c>
      <c r="B294" s="14">
        <v>0.0</v>
      </c>
      <c r="C294" s="15"/>
      <c r="D294" s="15"/>
      <c r="E294" s="15"/>
      <c r="F294" s="15"/>
      <c r="G294" s="12"/>
      <c r="H294" s="17"/>
      <c r="I294" s="17"/>
      <c r="J294" s="12"/>
      <c r="K294" s="12"/>
      <c r="L294" s="24"/>
      <c r="M294" s="17">
        <f t="shared" si="3"/>
        <v>0</v>
      </c>
      <c r="N294" s="17">
        <f t="shared" si="2"/>
        <v>0</v>
      </c>
      <c r="O294" s="18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ht="15.75" customHeight="1">
      <c r="A295" s="13" t="s">
        <v>413</v>
      </c>
      <c r="B295" s="14">
        <v>0.0</v>
      </c>
      <c r="C295" s="15"/>
      <c r="D295" s="15"/>
      <c r="E295" s="15"/>
      <c r="F295" s="15"/>
      <c r="G295" s="12"/>
      <c r="H295" s="17"/>
      <c r="I295" s="17"/>
      <c r="J295" s="12"/>
      <c r="K295" s="12"/>
      <c r="L295" s="24"/>
      <c r="M295" s="17">
        <f t="shared" si="3"/>
        <v>0</v>
      </c>
      <c r="N295" s="17">
        <f t="shared" si="2"/>
        <v>0</v>
      </c>
      <c r="O295" s="18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ht="15.75" customHeight="1">
      <c r="A296" s="13" t="s">
        <v>414</v>
      </c>
      <c r="B296" s="14">
        <v>0.0</v>
      </c>
      <c r="C296" s="22"/>
      <c r="D296" s="22"/>
      <c r="E296" s="22"/>
      <c r="F296" s="22"/>
      <c r="G296" s="12"/>
      <c r="H296" s="17"/>
      <c r="I296" s="17"/>
      <c r="J296" s="12"/>
      <c r="K296" s="12"/>
      <c r="L296" s="24"/>
      <c r="M296" s="17">
        <f t="shared" si="3"/>
        <v>0</v>
      </c>
      <c r="N296" s="17">
        <f t="shared" si="2"/>
        <v>0</v>
      </c>
      <c r="O296" s="18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ht="15.75" customHeight="1">
      <c r="A297" s="13" t="s">
        <v>415</v>
      </c>
      <c r="B297" s="14">
        <v>0.0</v>
      </c>
      <c r="C297" s="15"/>
      <c r="D297" s="15"/>
      <c r="E297" s="15"/>
      <c r="F297" s="15"/>
      <c r="G297" s="12"/>
      <c r="H297" s="17"/>
      <c r="I297" s="17"/>
      <c r="J297" s="12"/>
      <c r="K297" s="12"/>
      <c r="L297" s="24"/>
      <c r="M297" s="17">
        <f t="shared" si="3"/>
        <v>0</v>
      </c>
      <c r="N297" s="17">
        <f t="shared" si="2"/>
        <v>0</v>
      </c>
      <c r="O297" s="18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ht="15.75" customHeight="1">
      <c r="A298" s="13" t="s">
        <v>416</v>
      </c>
      <c r="B298" s="14">
        <v>0.0</v>
      </c>
      <c r="C298" s="22"/>
      <c r="D298" s="22"/>
      <c r="E298" s="22"/>
      <c r="F298" s="22"/>
      <c r="G298" s="12"/>
      <c r="H298" s="17"/>
      <c r="I298" s="17"/>
      <c r="J298" s="12"/>
      <c r="K298" s="12"/>
      <c r="L298" s="24"/>
      <c r="M298" s="17">
        <f t="shared" si="3"/>
        <v>0</v>
      </c>
      <c r="N298" s="17">
        <f t="shared" si="2"/>
        <v>0</v>
      </c>
      <c r="O298" s="18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ht="15.75" customHeight="1">
      <c r="A299" s="13" t="s">
        <v>417</v>
      </c>
      <c r="B299" s="14">
        <v>0.0</v>
      </c>
      <c r="C299" s="15"/>
      <c r="D299" s="15"/>
      <c r="E299" s="15"/>
      <c r="F299" s="15"/>
      <c r="G299" s="12"/>
      <c r="H299" s="17"/>
      <c r="I299" s="17"/>
      <c r="J299" s="12"/>
      <c r="K299" s="12"/>
      <c r="L299" s="24"/>
      <c r="M299" s="17">
        <f t="shared" si="3"/>
        <v>0</v>
      </c>
      <c r="N299" s="17">
        <f t="shared" si="2"/>
        <v>0</v>
      </c>
      <c r="O299" s="18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ht="15.75" customHeight="1">
      <c r="A300" s="13" t="s">
        <v>418</v>
      </c>
      <c r="B300" s="14">
        <v>0.0</v>
      </c>
      <c r="C300" s="15"/>
      <c r="D300" s="15"/>
      <c r="E300" s="15"/>
      <c r="F300" s="15"/>
      <c r="G300" s="12"/>
      <c r="H300" s="17"/>
      <c r="I300" s="17"/>
      <c r="J300" s="12"/>
      <c r="K300" s="12"/>
      <c r="L300" s="24"/>
      <c r="M300" s="17">
        <f t="shared" si="3"/>
        <v>0</v>
      </c>
      <c r="N300" s="17">
        <f t="shared" si="2"/>
        <v>0</v>
      </c>
      <c r="O300" s="18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ht="15.75" customHeight="1">
      <c r="A301" s="13" t="s">
        <v>419</v>
      </c>
      <c r="B301" s="14">
        <v>0.0</v>
      </c>
      <c r="C301" s="15"/>
      <c r="D301" s="15"/>
      <c r="E301" s="15"/>
      <c r="F301" s="15"/>
      <c r="G301" s="12"/>
      <c r="H301" s="17"/>
      <c r="I301" s="17"/>
      <c r="J301" s="12"/>
      <c r="K301" s="12"/>
      <c r="L301" s="24"/>
      <c r="M301" s="17">
        <f t="shared" si="3"/>
        <v>0</v>
      </c>
      <c r="N301" s="17">
        <f t="shared" si="2"/>
        <v>0</v>
      </c>
      <c r="O301" s="18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ht="15.75" customHeight="1">
      <c r="A302" s="13" t="s">
        <v>420</v>
      </c>
      <c r="B302" s="14">
        <v>0.0</v>
      </c>
      <c r="C302" s="15"/>
      <c r="D302" s="15"/>
      <c r="E302" s="15"/>
      <c r="F302" s="15"/>
      <c r="G302" s="12"/>
      <c r="H302" s="17"/>
      <c r="I302" s="17"/>
      <c r="J302" s="12"/>
      <c r="K302" s="12"/>
      <c r="L302" s="24"/>
      <c r="M302" s="17">
        <f t="shared" si="3"/>
        <v>0</v>
      </c>
      <c r="N302" s="17">
        <f t="shared" si="2"/>
        <v>0</v>
      </c>
      <c r="O302" s="18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ht="15.75" customHeight="1">
      <c r="A303" s="13" t="s">
        <v>421</v>
      </c>
      <c r="B303" s="14">
        <v>0.0</v>
      </c>
      <c r="C303" s="15"/>
      <c r="D303" s="15"/>
      <c r="E303" s="15"/>
      <c r="F303" s="15"/>
      <c r="G303" s="12"/>
      <c r="H303" s="17"/>
      <c r="I303" s="17"/>
      <c r="J303" s="12"/>
      <c r="K303" s="12"/>
      <c r="L303" s="24"/>
      <c r="M303" s="17">
        <f t="shared" si="3"/>
        <v>0</v>
      </c>
      <c r="N303" s="17">
        <f t="shared" si="2"/>
        <v>0</v>
      </c>
      <c r="O303" s="18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ht="15.75" customHeight="1">
      <c r="A304" s="13" t="s">
        <v>422</v>
      </c>
      <c r="B304" s="14">
        <v>0.0</v>
      </c>
      <c r="C304" s="15"/>
      <c r="D304" s="15"/>
      <c r="E304" s="15"/>
      <c r="F304" s="15"/>
      <c r="G304" s="12"/>
      <c r="H304" s="17"/>
      <c r="I304" s="17"/>
      <c r="J304" s="12"/>
      <c r="K304" s="12"/>
      <c r="L304" s="24"/>
      <c r="M304" s="17">
        <f t="shared" si="3"/>
        <v>0</v>
      </c>
      <c r="N304" s="17">
        <f t="shared" si="2"/>
        <v>0</v>
      </c>
      <c r="O304" s="18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ht="15.75" customHeight="1">
      <c r="A305" s="13" t="s">
        <v>423</v>
      </c>
      <c r="B305" s="14">
        <v>0.0</v>
      </c>
      <c r="C305" s="15"/>
      <c r="D305" s="15"/>
      <c r="E305" s="15"/>
      <c r="F305" s="15"/>
      <c r="G305" s="12"/>
      <c r="H305" s="17"/>
      <c r="I305" s="17"/>
      <c r="J305" s="12"/>
      <c r="K305" s="12"/>
      <c r="L305" s="24"/>
      <c r="M305" s="17">
        <f t="shared" si="3"/>
        <v>0</v>
      </c>
      <c r="N305" s="17">
        <f t="shared" si="2"/>
        <v>0</v>
      </c>
      <c r="O305" s="18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ht="15.75" customHeight="1">
      <c r="H306" s="27"/>
      <c r="I306" s="27"/>
      <c r="L306" s="28"/>
      <c r="O306" s="29"/>
    </row>
    <row r="307" ht="15.75" customHeight="1">
      <c r="A307" s="30" t="s">
        <v>598</v>
      </c>
      <c r="B307" s="31">
        <f>SUM(B2:B305)</f>
        <v>478</v>
      </c>
      <c r="H307" s="27"/>
      <c r="I307" s="27"/>
      <c r="K307" s="30" t="s">
        <v>599</v>
      </c>
      <c r="L307" s="32"/>
      <c r="M307" s="33">
        <f t="shared" ref="M307:N307" si="4">SUM(M2:M305)</f>
        <v>26889.20009</v>
      </c>
      <c r="N307" s="33">
        <f t="shared" si="4"/>
        <v>26472.36571</v>
      </c>
      <c r="O307" s="29"/>
    </row>
    <row r="308" ht="15.75" customHeight="1">
      <c r="H308" s="27"/>
      <c r="I308" s="27"/>
      <c r="L308" s="28"/>
      <c r="O308" s="29"/>
    </row>
    <row r="309" ht="15.75" customHeight="1">
      <c r="A309" s="12"/>
      <c r="B309" s="12"/>
      <c r="C309" s="12"/>
      <c r="D309" s="12"/>
      <c r="E309" s="12"/>
      <c r="F309" s="12"/>
      <c r="G309" s="12"/>
      <c r="H309" s="17"/>
      <c r="I309" s="17"/>
      <c r="J309" s="12"/>
      <c r="K309" s="12"/>
      <c r="L309" s="24"/>
      <c r="M309" s="12"/>
      <c r="N309" s="12"/>
      <c r="O309" s="18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ht="15.75" customHeight="1">
      <c r="A310" s="10" t="s">
        <v>600</v>
      </c>
      <c r="B310" s="12"/>
      <c r="C310" s="12"/>
      <c r="D310" s="12"/>
      <c r="E310" s="12"/>
      <c r="F310" s="12"/>
      <c r="G310" s="12"/>
      <c r="H310" s="17"/>
      <c r="I310" s="17"/>
      <c r="J310" s="12"/>
      <c r="K310" s="12"/>
      <c r="L310" s="24"/>
      <c r="M310" s="12"/>
      <c r="N310" s="12"/>
      <c r="O310" s="18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ht="15.75" customHeight="1">
      <c r="A311" s="10" t="s">
        <v>601</v>
      </c>
      <c r="B311" s="10">
        <v>1.0</v>
      </c>
      <c r="C311" s="12"/>
      <c r="D311" s="12"/>
      <c r="E311" s="12"/>
      <c r="F311" s="12"/>
      <c r="G311" s="12"/>
      <c r="H311" s="19">
        <v>10925.0</v>
      </c>
      <c r="I311" s="17"/>
      <c r="J311" s="12"/>
      <c r="K311" s="12"/>
      <c r="L311" s="21" t="s">
        <v>602</v>
      </c>
      <c r="M311" s="17">
        <f t="shared" ref="M311:M317" si="5">H311*B311</f>
        <v>10925</v>
      </c>
      <c r="N311" s="12"/>
      <c r="O311" s="18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ht="15.75" customHeight="1">
      <c r="A312" s="10" t="s">
        <v>603</v>
      </c>
      <c r="B312" s="10">
        <v>1.0</v>
      </c>
      <c r="C312" s="12"/>
      <c r="D312" s="12"/>
      <c r="E312" s="12"/>
      <c r="F312" s="12"/>
      <c r="G312" s="12"/>
      <c r="H312" s="19">
        <v>2092.95</v>
      </c>
      <c r="I312" s="17"/>
      <c r="J312" s="12"/>
      <c r="K312" s="12"/>
      <c r="L312" s="21" t="s">
        <v>604</v>
      </c>
      <c r="M312" s="17">
        <f t="shared" si="5"/>
        <v>2092.95</v>
      </c>
      <c r="N312" s="12"/>
      <c r="O312" s="18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ht="15.75" customHeight="1">
      <c r="A313" s="10" t="s">
        <v>605</v>
      </c>
      <c r="B313" s="10">
        <v>1.0</v>
      </c>
      <c r="C313" s="12"/>
      <c r="D313" s="12"/>
      <c r="E313" s="12"/>
      <c r="F313" s="12"/>
      <c r="G313" s="12"/>
      <c r="H313" s="19">
        <v>3353.36</v>
      </c>
      <c r="I313" s="17"/>
      <c r="J313" s="12"/>
      <c r="K313" s="12"/>
      <c r="L313" s="21" t="s">
        <v>606</v>
      </c>
      <c r="M313" s="17">
        <f t="shared" si="5"/>
        <v>3353.36</v>
      </c>
      <c r="N313" s="12"/>
      <c r="O313" s="18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ht="15.75" customHeight="1">
      <c r="A314" s="10" t="s">
        <v>607</v>
      </c>
      <c r="B314" s="10">
        <v>1.0</v>
      </c>
      <c r="C314" s="12"/>
      <c r="D314" s="12"/>
      <c r="E314" s="12"/>
      <c r="F314" s="12"/>
      <c r="G314" s="12"/>
      <c r="H314" s="17"/>
      <c r="I314" s="17"/>
      <c r="J314" s="12"/>
      <c r="K314" s="12"/>
      <c r="L314" s="12"/>
      <c r="M314" s="17">
        <f t="shared" si="5"/>
        <v>0</v>
      </c>
      <c r="N314" s="12"/>
      <c r="O314" s="18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ht="15.75" customHeight="1">
      <c r="A315" s="10" t="s">
        <v>608</v>
      </c>
      <c r="B315" s="10">
        <v>1.0</v>
      </c>
      <c r="C315" s="12"/>
      <c r="D315" s="12"/>
      <c r="E315" s="12"/>
      <c r="F315" s="12"/>
      <c r="G315" s="12"/>
      <c r="H315" s="19">
        <v>2700.0</v>
      </c>
      <c r="I315" s="17"/>
      <c r="J315" s="12"/>
      <c r="K315" s="12"/>
      <c r="L315" s="21" t="s">
        <v>609</v>
      </c>
      <c r="M315" s="17">
        <f t="shared" si="5"/>
        <v>2700</v>
      </c>
      <c r="N315" s="12"/>
      <c r="O315" s="18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ht="15.75" customHeight="1">
      <c r="A316" s="10" t="s">
        <v>610</v>
      </c>
      <c r="B316" s="10">
        <v>1.0</v>
      </c>
      <c r="C316" s="12"/>
      <c r="D316" s="12"/>
      <c r="E316" s="12"/>
      <c r="F316" s="12"/>
      <c r="G316" s="12"/>
      <c r="H316" s="19">
        <v>8245.0</v>
      </c>
      <c r="I316" s="17"/>
      <c r="J316" s="12"/>
      <c r="K316" s="12"/>
      <c r="L316" s="25" t="s">
        <v>611</v>
      </c>
      <c r="M316" s="17">
        <f t="shared" si="5"/>
        <v>8245</v>
      </c>
      <c r="N316" s="12"/>
      <c r="O316" s="18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7"/>
      <c r="I317" s="17"/>
      <c r="J317" s="12"/>
      <c r="K317" s="12"/>
      <c r="L317" s="24"/>
      <c r="M317" s="17">
        <f t="shared" si="5"/>
        <v>0</v>
      </c>
      <c r="N317" s="12"/>
      <c r="O317" s="18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7"/>
      <c r="I318" s="17"/>
      <c r="J318" s="12"/>
      <c r="K318" s="12"/>
      <c r="L318" s="24"/>
      <c r="M318" s="12"/>
      <c r="N318" s="12"/>
      <c r="O318" s="18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7"/>
      <c r="I319" s="17"/>
      <c r="J319" s="12"/>
      <c r="K319" s="12"/>
      <c r="L319" s="24"/>
      <c r="M319" s="12"/>
      <c r="N319" s="12"/>
      <c r="O319" s="18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7"/>
      <c r="I320" s="17"/>
      <c r="J320" s="12"/>
      <c r="K320" s="10" t="s">
        <v>612</v>
      </c>
      <c r="L320" s="24"/>
      <c r="M320" s="17">
        <f>SUM(M311:M319)</f>
        <v>27316.31</v>
      </c>
      <c r="N320" s="12"/>
      <c r="O320" s="18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ht="15.75" customHeight="1">
      <c r="L321" s="28"/>
      <c r="O321" s="29"/>
    </row>
    <row r="322" ht="15.75" customHeight="1">
      <c r="L322" s="28"/>
      <c r="O322" s="29"/>
    </row>
    <row r="323" ht="15.75" customHeight="1">
      <c r="L323" s="28"/>
      <c r="O323" s="29"/>
    </row>
    <row r="324" ht="15.75" customHeight="1">
      <c r="L324" s="28"/>
      <c r="O324" s="29"/>
    </row>
    <row r="325" ht="15.75" customHeight="1">
      <c r="L325" s="28"/>
      <c r="O325" s="29"/>
    </row>
    <row r="326" ht="15.75" customHeight="1">
      <c r="L326" s="28"/>
      <c r="O326" s="29"/>
    </row>
    <row r="327" ht="15.75" customHeight="1">
      <c r="L327" s="28"/>
      <c r="O327" s="29"/>
    </row>
    <row r="328" ht="15.75" customHeight="1">
      <c r="L328" s="28"/>
      <c r="O328" s="29"/>
    </row>
    <row r="329" ht="15.75" customHeight="1">
      <c r="L329" s="28"/>
      <c r="O329" s="29"/>
    </row>
    <row r="330" ht="15.75" customHeight="1">
      <c r="L330" s="28"/>
      <c r="O330" s="29"/>
    </row>
    <row r="331" ht="15.75" customHeight="1">
      <c r="L331" s="28"/>
      <c r="O331" s="29"/>
    </row>
    <row r="332" ht="15.75" customHeight="1">
      <c r="L332" s="28"/>
      <c r="O332" s="29"/>
    </row>
    <row r="333" ht="15.75" customHeight="1">
      <c r="L333" s="28"/>
      <c r="O333" s="29"/>
    </row>
    <row r="334" ht="15.75" customHeight="1">
      <c r="L334" s="28"/>
      <c r="O334" s="29"/>
    </row>
    <row r="335" ht="15.75" customHeight="1">
      <c r="L335" s="28"/>
      <c r="O335" s="29"/>
    </row>
    <row r="336" ht="15.75" customHeight="1">
      <c r="L336" s="28"/>
      <c r="O336" s="29"/>
    </row>
    <row r="337" ht="15.75" customHeight="1">
      <c r="L337" s="28"/>
      <c r="O337" s="29"/>
    </row>
    <row r="338" ht="15.75" customHeight="1">
      <c r="L338" s="28"/>
      <c r="O338" s="29"/>
    </row>
    <row r="339" ht="15.75" customHeight="1">
      <c r="L339" s="28"/>
      <c r="O339" s="29"/>
    </row>
    <row r="340" ht="15.75" customHeight="1">
      <c r="L340" s="28"/>
      <c r="O340" s="29"/>
    </row>
    <row r="341" ht="15.75" customHeight="1">
      <c r="L341" s="28"/>
      <c r="O341" s="29"/>
    </row>
    <row r="342" ht="15.75" customHeight="1">
      <c r="L342" s="28"/>
      <c r="O342" s="29"/>
    </row>
    <row r="343" ht="15.75" customHeight="1">
      <c r="L343" s="28"/>
      <c r="O343" s="29"/>
    </row>
    <row r="344" ht="15.75" customHeight="1">
      <c r="L344" s="28"/>
      <c r="O344" s="29"/>
    </row>
    <row r="345" ht="15.75" customHeight="1">
      <c r="L345" s="28"/>
      <c r="O345" s="29"/>
    </row>
    <row r="346" ht="15.75" customHeight="1">
      <c r="L346" s="28"/>
      <c r="O346" s="29"/>
    </row>
    <row r="347" ht="15.75" customHeight="1">
      <c r="L347" s="28"/>
      <c r="O347" s="29"/>
    </row>
    <row r="348" ht="15.75" customHeight="1">
      <c r="L348" s="28"/>
      <c r="O348" s="29"/>
    </row>
    <row r="349" ht="15.75" customHeight="1">
      <c r="L349" s="28"/>
      <c r="O349" s="29"/>
    </row>
    <row r="350" ht="15.75" customHeight="1">
      <c r="L350" s="28"/>
      <c r="O350" s="29"/>
    </row>
    <row r="351" ht="15.75" customHeight="1">
      <c r="L351" s="28"/>
      <c r="O351" s="29"/>
    </row>
    <row r="352" ht="15.75" customHeight="1">
      <c r="L352" s="28"/>
      <c r="O352" s="29"/>
    </row>
    <row r="353" ht="15.75" customHeight="1">
      <c r="L353" s="28"/>
      <c r="O353" s="29"/>
    </row>
    <row r="354" ht="15.75" customHeight="1">
      <c r="L354" s="28"/>
      <c r="O354" s="29"/>
    </row>
    <row r="355" ht="15.75" customHeight="1">
      <c r="L355" s="28"/>
      <c r="O355" s="29"/>
    </row>
    <row r="356" ht="15.75" customHeight="1">
      <c r="L356" s="28"/>
      <c r="O356" s="29"/>
    </row>
    <row r="357" ht="15.75" customHeight="1">
      <c r="L357" s="28"/>
      <c r="O357" s="29"/>
    </row>
    <row r="358" ht="15.75" customHeight="1">
      <c r="L358" s="28"/>
      <c r="O358" s="29"/>
    </row>
    <row r="359" ht="15.75" customHeight="1">
      <c r="L359" s="28"/>
      <c r="O359" s="29"/>
    </row>
    <row r="360" ht="15.75" customHeight="1">
      <c r="L360" s="28"/>
      <c r="O360" s="29"/>
    </row>
    <row r="361" ht="15.75" customHeight="1">
      <c r="L361" s="28"/>
      <c r="O361" s="29"/>
    </row>
    <row r="362" ht="15.75" customHeight="1">
      <c r="L362" s="28"/>
      <c r="O362" s="29"/>
    </row>
    <row r="363" ht="15.75" customHeight="1">
      <c r="L363" s="28"/>
      <c r="O363" s="29"/>
    </row>
    <row r="364" ht="15.75" customHeight="1">
      <c r="L364" s="28"/>
      <c r="O364" s="29"/>
    </row>
    <row r="365" ht="15.75" customHeight="1">
      <c r="L365" s="28"/>
      <c r="O365" s="29"/>
    </row>
    <row r="366" ht="15.75" customHeight="1">
      <c r="L366" s="28"/>
      <c r="O366" s="29"/>
    </row>
    <row r="367" ht="15.75" customHeight="1">
      <c r="L367" s="28"/>
      <c r="O367" s="29"/>
    </row>
    <row r="368" ht="15.75" customHeight="1">
      <c r="L368" s="28"/>
      <c r="O368" s="29"/>
    </row>
    <row r="369" ht="15.75" customHeight="1">
      <c r="L369" s="28"/>
      <c r="O369" s="29"/>
    </row>
    <row r="370" ht="15.75" customHeight="1">
      <c r="L370" s="28"/>
      <c r="O370" s="29"/>
    </row>
    <row r="371" ht="15.75" customHeight="1">
      <c r="L371" s="28"/>
      <c r="O371" s="29"/>
    </row>
    <row r="372" ht="15.75" customHeight="1">
      <c r="L372" s="28"/>
      <c r="O372" s="29"/>
    </row>
    <row r="373" ht="15.75" customHeight="1">
      <c r="L373" s="28"/>
      <c r="O373" s="29"/>
    </row>
    <row r="374" ht="15.75" customHeight="1">
      <c r="L374" s="28"/>
      <c r="O374" s="29"/>
    </row>
    <row r="375" ht="15.75" customHeight="1">
      <c r="L375" s="28"/>
      <c r="O375" s="29"/>
    </row>
    <row r="376" ht="15.75" customHeight="1">
      <c r="L376" s="28"/>
      <c r="O376" s="29"/>
    </row>
    <row r="377" ht="15.75" customHeight="1">
      <c r="L377" s="28"/>
      <c r="O377" s="29"/>
    </row>
    <row r="378" ht="15.75" customHeight="1">
      <c r="L378" s="28"/>
      <c r="O378" s="29"/>
    </row>
    <row r="379" ht="15.75" customHeight="1">
      <c r="L379" s="28"/>
      <c r="O379" s="29"/>
    </row>
    <row r="380" ht="15.75" customHeight="1">
      <c r="L380" s="28"/>
      <c r="O380" s="29"/>
    </row>
    <row r="381" ht="15.75" customHeight="1">
      <c r="L381" s="28"/>
      <c r="O381" s="29"/>
    </row>
    <row r="382" ht="15.75" customHeight="1">
      <c r="L382" s="28"/>
      <c r="O382" s="29"/>
    </row>
    <row r="383" ht="15.75" customHeight="1">
      <c r="L383" s="28"/>
      <c r="O383" s="29"/>
    </row>
    <row r="384" ht="15.75" customHeight="1">
      <c r="L384" s="28"/>
      <c r="O384" s="29"/>
    </row>
    <row r="385" ht="15.75" customHeight="1">
      <c r="L385" s="28"/>
      <c r="O385" s="29"/>
    </row>
    <row r="386" ht="15.75" customHeight="1">
      <c r="L386" s="28"/>
      <c r="O386" s="29"/>
    </row>
    <row r="387" ht="15.75" customHeight="1">
      <c r="L387" s="28"/>
      <c r="O387" s="29"/>
    </row>
    <row r="388" ht="15.75" customHeight="1">
      <c r="L388" s="28"/>
      <c r="O388" s="29"/>
    </row>
    <row r="389" ht="15.75" customHeight="1">
      <c r="L389" s="28"/>
      <c r="O389" s="29"/>
    </row>
    <row r="390" ht="15.75" customHeight="1">
      <c r="L390" s="28"/>
      <c r="O390" s="29"/>
    </row>
    <row r="391" ht="15.75" customHeight="1">
      <c r="L391" s="28"/>
      <c r="O391" s="29"/>
    </row>
    <row r="392" ht="15.75" customHeight="1">
      <c r="L392" s="28"/>
      <c r="O392" s="29"/>
    </row>
    <row r="393" ht="15.75" customHeight="1">
      <c r="L393" s="28"/>
      <c r="O393" s="29"/>
    </row>
    <row r="394" ht="15.75" customHeight="1">
      <c r="L394" s="28"/>
      <c r="O394" s="29"/>
    </row>
    <row r="395" ht="15.75" customHeight="1">
      <c r="L395" s="28"/>
      <c r="O395" s="29"/>
    </row>
    <row r="396" ht="15.75" customHeight="1">
      <c r="L396" s="28"/>
      <c r="O396" s="29"/>
    </row>
    <row r="397" ht="15.75" customHeight="1">
      <c r="L397" s="28"/>
      <c r="O397" s="29"/>
    </row>
    <row r="398" ht="15.75" customHeight="1">
      <c r="L398" s="28"/>
      <c r="O398" s="29"/>
    </row>
    <row r="399" ht="15.75" customHeight="1">
      <c r="L399" s="28"/>
      <c r="O399" s="29"/>
    </row>
    <row r="400" ht="15.75" customHeight="1">
      <c r="L400" s="28"/>
      <c r="O400" s="29"/>
    </row>
    <row r="401" ht="15.75" customHeight="1">
      <c r="L401" s="28"/>
      <c r="O401" s="29"/>
    </row>
    <row r="402" ht="15.75" customHeight="1">
      <c r="L402" s="28"/>
      <c r="O402" s="29"/>
    </row>
    <row r="403" ht="15.75" customHeight="1">
      <c r="L403" s="28"/>
      <c r="O403" s="29"/>
    </row>
    <row r="404" ht="15.75" customHeight="1">
      <c r="L404" s="28"/>
      <c r="O404" s="29"/>
    </row>
    <row r="405" ht="15.75" customHeight="1">
      <c r="L405" s="28"/>
      <c r="O405" s="29"/>
    </row>
    <row r="406" ht="15.75" customHeight="1">
      <c r="L406" s="28"/>
      <c r="O406" s="29"/>
    </row>
    <row r="407" ht="15.75" customHeight="1">
      <c r="L407" s="28"/>
      <c r="O407" s="29"/>
    </row>
    <row r="408" ht="15.75" customHeight="1">
      <c r="L408" s="28"/>
      <c r="O408" s="29"/>
    </row>
    <row r="409" ht="15.75" customHeight="1">
      <c r="L409" s="28"/>
      <c r="O409" s="29"/>
    </row>
    <row r="410" ht="15.75" customHeight="1">
      <c r="L410" s="28"/>
      <c r="O410" s="29"/>
    </row>
    <row r="411" ht="15.75" customHeight="1">
      <c r="L411" s="28"/>
      <c r="O411" s="29"/>
    </row>
    <row r="412" ht="15.75" customHeight="1">
      <c r="L412" s="28"/>
      <c r="O412" s="29"/>
    </row>
    <row r="413" ht="15.75" customHeight="1">
      <c r="L413" s="28"/>
      <c r="O413" s="29"/>
    </row>
    <row r="414" ht="15.75" customHeight="1">
      <c r="L414" s="28"/>
      <c r="O414" s="29"/>
    </row>
    <row r="415" ht="15.75" customHeight="1">
      <c r="L415" s="28"/>
      <c r="O415" s="29"/>
    </row>
    <row r="416" ht="15.75" customHeight="1">
      <c r="L416" s="28"/>
      <c r="O416" s="29"/>
    </row>
    <row r="417" ht="15.75" customHeight="1">
      <c r="L417" s="28"/>
      <c r="O417" s="29"/>
    </row>
    <row r="418" ht="15.75" customHeight="1">
      <c r="L418" s="28"/>
      <c r="O418" s="29"/>
    </row>
    <row r="419" ht="15.75" customHeight="1">
      <c r="L419" s="28"/>
      <c r="O419" s="29"/>
    </row>
    <row r="420" ht="15.75" customHeight="1">
      <c r="L420" s="28"/>
      <c r="O420" s="29"/>
    </row>
    <row r="421" ht="15.75" customHeight="1">
      <c r="L421" s="28"/>
      <c r="O421" s="29"/>
    </row>
    <row r="422" ht="15.75" customHeight="1">
      <c r="L422" s="28"/>
      <c r="O422" s="29"/>
    </row>
    <row r="423" ht="15.75" customHeight="1">
      <c r="L423" s="28"/>
      <c r="O423" s="29"/>
    </row>
    <row r="424" ht="15.75" customHeight="1">
      <c r="L424" s="28"/>
      <c r="O424" s="29"/>
    </row>
    <row r="425" ht="15.75" customHeight="1">
      <c r="L425" s="28"/>
      <c r="O425" s="29"/>
    </row>
    <row r="426" ht="15.75" customHeight="1">
      <c r="L426" s="28"/>
      <c r="O426" s="29"/>
    </row>
    <row r="427" ht="15.75" customHeight="1">
      <c r="L427" s="28"/>
      <c r="O427" s="29"/>
    </row>
    <row r="428" ht="15.75" customHeight="1">
      <c r="L428" s="28"/>
      <c r="O428" s="29"/>
    </row>
    <row r="429" ht="15.75" customHeight="1">
      <c r="L429" s="28"/>
      <c r="O429" s="29"/>
    </row>
    <row r="430" ht="15.75" customHeight="1">
      <c r="L430" s="28"/>
      <c r="O430" s="29"/>
    </row>
    <row r="431" ht="15.75" customHeight="1">
      <c r="L431" s="28"/>
      <c r="O431" s="29"/>
    </row>
    <row r="432" ht="15.75" customHeight="1">
      <c r="L432" s="28"/>
      <c r="O432" s="29"/>
    </row>
    <row r="433" ht="15.75" customHeight="1">
      <c r="L433" s="28"/>
      <c r="O433" s="29"/>
    </row>
    <row r="434" ht="15.75" customHeight="1">
      <c r="L434" s="28"/>
      <c r="O434" s="29"/>
    </row>
    <row r="435" ht="15.75" customHeight="1">
      <c r="L435" s="28"/>
      <c r="O435" s="29"/>
    </row>
    <row r="436" ht="15.75" customHeight="1">
      <c r="L436" s="28"/>
      <c r="O436" s="29"/>
    </row>
    <row r="437" ht="15.75" customHeight="1">
      <c r="L437" s="28"/>
      <c r="O437" s="29"/>
    </row>
    <row r="438" ht="15.75" customHeight="1">
      <c r="L438" s="28"/>
      <c r="O438" s="29"/>
    </row>
    <row r="439" ht="15.75" customHeight="1">
      <c r="L439" s="28"/>
      <c r="O439" s="29"/>
    </row>
    <row r="440" ht="15.75" customHeight="1">
      <c r="L440" s="28"/>
      <c r="O440" s="29"/>
    </row>
    <row r="441" ht="15.75" customHeight="1">
      <c r="L441" s="28"/>
      <c r="O441" s="29"/>
    </row>
    <row r="442" ht="15.75" customHeight="1">
      <c r="L442" s="28"/>
      <c r="O442" s="29"/>
    </row>
    <row r="443" ht="15.75" customHeight="1">
      <c r="L443" s="28"/>
      <c r="O443" s="29"/>
    </row>
    <row r="444" ht="15.75" customHeight="1">
      <c r="L444" s="28"/>
      <c r="O444" s="29"/>
    </row>
    <row r="445" ht="15.75" customHeight="1">
      <c r="L445" s="28"/>
      <c r="O445" s="29"/>
    </row>
    <row r="446" ht="15.75" customHeight="1">
      <c r="L446" s="28"/>
      <c r="O446" s="29"/>
    </row>
    <row r="447" ht="15.75" customHeight="1">
      <c r="L447" s="28"/>
      <c r="O447" s="29"/>
    </row>
    <row r="448" ht="15.75" customHeight="1">
      <c r="L448" s="28"/>
      <c r="O448" s="29"/>
    </row>
    <row r="449" ht="15.75" customHeight="1">
      <c r="L449" s="28"/>
      <c r="O449" s="29"/>
    </row>
    <row r="450" ht="15.75" customHeight="1">
      <c r="L450" s="28"/>
      <c r="O450" s="29"/>
    </row>
    <row r="451" ht="15.75" customHeight="1">
      <c r="L451" s="28"/>
      <c r="O451" s="29"/>
    </row>
    <row r="452" ht="15.75" customHeight="1">
      <c r="L452" s="28"/>
      <c r="O452" s="29"/>
    </row>
    <row r="453" ht="15.75" customHeight="1">
      <c r="L453" s="28"/>
      <c r="O453" s="29"/>
    </row>
    <row r="454" ht="15.75" customHeight="1">
      <c r="L454" s="28"/>
      <c r="O454" s="29"/>
    </row>
    <row r="455" ht="15.75" customHeight="1">
      <c r="L455" s="28"/>
      <c r="O455" s="29"/>
    </row>
    <row r="456" ht="15.75" customHeight="1">
      <c r="L456" s="28"/>
      <c r="O456" s="29"/>
    </row>
    <row r="457" ht="15.75" customHeight="1">
      <c r="L457" s="28"/>
      <c r="O457" s="29"/>
    </row>
    <row r="458" ht="15.75" customHeight="1">
      <c r="L458" s="28"/>
      <c r="O458" s="29"/>
    </row>
    <row r="459" ht="15.75" customHeight="1">
      <c r="L459" s="28"/>
      <c r="O459" s="29"/>
    </row>
    <row r="460" ht="15.75" customHeight="1">
      <c r="L460" s="28"/>
      <c r="O460" s="29"/>
    </row>
    <row r="461" ht="15.75" customHeight="1">
      <c r="L461" s="28"/>
      <c r="O461" s="29"/>
    </row>
    <row r="462" ht="15.75" customHeight="1">
      <c r="L462" s="28"/>
      <c r="O462" s="29"/>
    </row>
    <row r="463" ht="15.75" customHeight="1">
      <c r="L463" s="28"/>
      <c r="O463" s="29"/>
    </row>
    <row r="464" ht="15.75" customHeight="1">
      <c r="L464" s="28"/>
      <c r="O464" s="29"/>
    </row>
    <row r="465" ht="15.75" customHeight="1">
      <c r="L465" s="28"/>
      <c r="O465" s="29"/>
    </row>
    <row r="466" ht="15.75" customHeight="1">
      <c r="L466" s="28"/>
      <c r="O466" s="29"/>
    </row>
    <row r="467" ht="15.75" customHeight="1">
      <c r="L467" s="28"/>
      <c r="O467" s="29"/>
    </row>
    <row r="468" ht="15.75" customHeight="1">
      <c r="L468" s="28"/>
      <c r="O468" s="29"/>
    </row>
    <row r="469" ht="15.75" customHeight="1">
      <c r="L469" s="28"/>
      <c r="O469" s="29"/>
    </row>
    <row r="470" ht="15.75" customHeight="1">
      <c r="L470" s="28"/>
      <c r="O470" s="29"/>
    </row>
    <row r="471" ht="15.75" customHeight="1">
      <c r="L471" s="28"/>
      <c r="O471" s="29"/>
    </row>
    <row r="472" ht="15.75" customHeight="1">
      <c r="L472" s="28"/>
      <c r="O472" s="29"/>
    </row>
    <row r="473" ht="15.75" customHeight="1">
      <c r="L473" s="28"/>
      <c r="O473" s="29"/>
    </row>
    <row r="474" ht="15.75" customHeight="1">
      <c r="L474" s="28"/>
      <c r="O474" s="29"/>
    </row>
    <row r="475" ht="15.75" customHeight="1">
      <c r="L475" s="28"/>
      <c r="O475" s="29"/>
    </row>
    <row r="476" ht="15.75" customHeight="1">
      <c r="L476" s="28"/>
      <c r="O476" s="29"/>
    </row>
    <row r="477" ht="15.75" customHeight="1">
      <c r="L477" s="28"/>
      <c r="O477" s="29"/>
    </row>
    <row r="478" ht="15.75" customHeight="1">
      <c r="L478" s="28"/>
      <c r="O478" s="29"/>
    </row>
    <row r="479" ht="15.75" customHeight="1">
      <c r="L479" s="28"/>
      <c r="O479" s="29"/>
    </row>
    <row r="480" ht="15.75" customHeight="1">
      <c r="L480" s="28"/>
      <c r="O480" s="29"/>
    </row>
    <row r="481" ht="15.75" customHeight="1">
      <c r="L481" s="28"/>
      <c r="O481" s="29"/>
    </row>
    <row r="482" ht="15.75" customHeight="1">
      <c r="L482" s="28"/>
      <c r="O482" s="29"/>
    </row>
    <row r="483" ht="15.75" customHeight="1">
      <c r="L483" s="28"/>
      <c r="O483" s="29"/>
    </row>
    <row r="484" ht="15.75" customHeight="1">
      <c r="L484" s="28"/>
      <c r="O484" s="29"/>
    </row>
    <row r="485" ht="15.75" customHeight="1">
      <c r="L485" s="28"/>
      <c r="O485" s="29"/>
    </row>
    <row r="486" ht="15.75" customHeight="1">
      <c r="L486" s="28"/>
      <c r="O486" s="29"/>
    </row>
    <row r="487" ht="15.75" customHeight="1">
      <c r="L487" s="28"/>
      <c r="O487" s="29"/>
    </row>
    <row r="488" ht="15.75" customHeight="1">
      <c r="L488" s="28"/>
      <c r="O488" s="29"/>
    </row>
    <row r="489" ht="15.75" customHeight="1">
      <c r="L489" s="28"/>
      <c r="O489" s="29"/>
    </row>
    <row r="490" ht="15.75" customHeight="1">
      <c r="L490" s="28"/>
      <c r="O490" s="29"/>
    </row>
    <row r="491" ht="15.75" customHeight="1">
      <c r="L491" s="28"/>
      <c r="O491" s="29"/>
    </row>
    <row r="492" ht="15.75" customHeight="1">
      <c r="L492" s="28"/>
      <c r="O492" s="29"/>
    </row>
    <row r="493" ht="15.75" customHeight="1">
      <c r="L493" s="28"/>
      <c r="O493" s="29"/>
    </row>
    <row r="494" ht="15.75" customHeight="1">
      <c r="L494" s="28"/>
      <c r="O494" s="29"/>
    </row>
    <row r="495" ht="15.75" customHeight="1">
      <c r="L495" s="28"/>
      <c r="O495" s="29"/>
    </row>
    <row r="496" ht="15.75" customHeight="1">
      <c r="L496" s="28"/>
      <c r="O496" s="29"/>
    </row>
    <row r="497" ht="15.75" customHeight="1">
      <c r="L497" s="28"/>
      <c r="O497" s="29"/>
    </row>
    <row r="498" ht="15.75" customHeight="1">
      <c r="L498" s="28"/>
      <c r="O498" s="29"/>
    </row>
    <row r="499" ht="15.75" customHeight="1">
      <c r="L499" s="28"/>
      <c r="O499" s="29"/>
    </row>
    <row r="500" ht="15.75" customHeight="1">
      <c r="L500" s="28"/>
      <c r="O500" s="29"/>
    </row>
    <row r="501" ht="15.75" customHeight="1">
      <c r="L501" s="28"/>
      <c r="O501" s="29"/>
    </row>
    <row r="502" ht="15.75" customHeight="1">
      <c r="L502" s="28"/>
      <c r="O502" s="29"/>
    </row>
    <row r="503" ht="15.75" customHeight="1">
      <c r="L503" s="28"/>
      <c r="O503" s="29"/>
    </row>
    <row r="504" ht="15.75" customHeight="1">
      <c r="L504" s="28"/>
      <c r="O504" s="29"/>
    </row>
    <row r="505" ht="15.75" customHeight="1">
      <c r="L505" s="28"/>
      <c r="O505" s="29"/>
    </row>
    <row r="506" ht="15.75" customHeight="1">
      <c r="L506" s="28"/>
      <c r="O506" s="29"/>
    </row>
    <row r="507" ht="15.75" customHeight="1">
      <c r="L507" s="28"/>
      <c r="O507" s="29"/>
    </row>
    <row r="508" ht="15.75" customHeight="1">
      <c r="L508" s="28"/>
      <c r="O508" s="29"/>
    </row>
    <row r="509" ht="15.75" customHeight="1">
      <c r="L509" s="28"/>
      <c r="O509" s="29"/>
    </row>
    <row r="510" ht="15.75" customHeight="1">
      <c r="L510" s="28"/>
      <c r="O510" s="29"/>
    </row>
    <row r="511" ht="15.75" customHeight="1">
      <c r="L511" s="28"/>
      <c r="O511" s="29"/>
    </row>
    <row r="512" ht="15.75" customHeight="1">
      <c r="L512" s="28"/>
      <c r="O512" s="29"/>
    </row>
    <row r="513" ht="15.75" customHeight="1">
      <c r="L513" s="28"/>
      <c r="O513" s="29"/>
    </row>
    <row r="514" ht="15.75" customHeight="1">
      <c r="L514" s="28"/>
      <c r="O514" s="29"/>
    </row>
    <row r="515" ht="15.75" customHeight="1">
      <c r="L515" s="28"/>
      <c r="O515" s="29"/>
    </row>
    <row r="516" ht="15.75" customHeight="1">
      <c r="L516" s="28"/>
      <c r="O516" s="29"/>
    </row>
    <row r="517" ht="15.75" customHeight="1">
      <c r="L517" s="28"/>
      <c r="O517" s="29"/>
    </row>
    <row r="518" ht="15.75" customHeight="1">
      <c r="L518" s="28"/>
      <c r="O518" s="29"/>
    </row>
    <row r="519" ht="15.75" customHeight="1">
      <c r="L519" s="28"/>
      <c r="O519" s="29"/>
    </row>
    <row r="520" ht="15.75" customHeight="1">
      <c r="L520" s="28"/>
      <c r="O520" s="29"/>
    </row>
    <row r="521" ht="15.75" customHeight="1">
      <c r="L521" s="28"/>
      <c r="O521" s="29"/>
    </row>
    <row r="522" ht="15.75" customHeight="1">
      <c r="L522" s="28"/>
      <c r="O522" s="29"/>
    </row>
    <row r="523" ht="15.75" customHeight="1">
      <c r="L523" s="28"/>
      <c r="O523" s="29"/>
    </row>
    <row r="524" ht="15.75" customHeight="1">
      <c r="L524" s="28"/>
      <c r="O524" s="29"/>
    </row>
    <row r="525" ht="15.75" customHeight="1">
      <c r="L525" s="28"/>
      <c r="O525" s="29"/>
    </row>
    <row r="526" ht="15.75" customHeight="1">
      <c r="L526" s="28"/>
      <c r="O526" s="29"/>
    </row>
    <row r="527" ht="15.75" customHeight="1">
      <c r="L527" s="28"/>
      <c r="O527" s="29"/>
    </row>
    <row r="528" ht="15.75" customHeight="1">
      <c r="L528" s="28"/>
      <c r="O528" s="29"/>
    </row>
    <row r="529" ht="15.75" customHeight="1">
      <c r="L529" s="28"/>
      <c r="O529" s="29"/>
    </row>
    <row r="530" ht="15.75" customHeight="1">
      <c r="L530" s="28"/>
      <c r="O530" s="29"/>
    </row>
    <row r="531" ht="15.75" customHeight="1">
      <c r="L531" s="28"/>
      <c r="O531" s="29"/>
    </row>
    <row r="532" ht="15.75" customHeight="1">
      <c r="L532" s="28"/>
      <c r="O532" s="29"/>
    </row>
    <row r="533" ht="15.75" customHeight="1">
      <c r="L533" s="28"/>
      <c r="O533" s="29"/>
    </row>
    <row r="534" ht="15.75" customHeight="1">
      <c r="L534" s="28"/>
      <c r="O534" s="29"/>
    </row>
    <row r="535" ht="15.75" customHeight="1">
      <c r="L535" s="28"/>
      <c r="O535" s="29"/>
    </row>
    <row r="536" ht="15.75" customHeight="1">
      <c r="L536" s="28"/>
      <c r="O536" s="29"/>
    </row>
    <row r="537" ht="15.75" customHeight="1">
      <c r="L537" s="28"/>
      <c r="O537" s="29"/>
    </row>
    <row r="538" ht="15.75" customHeight="1">
      <c r="L538" s="28"/>
      <c r="O538" s="29"/>
    </row>
    <row r="539" ht="15.75" customHeight="1">
      <c r="L539" s="28"/>
      <c r="O539" s="29"/>
    </row>
    <row r="540" ht="15.75" customHeight="1">
      <c r="L540" s="28"/>
      <c r="O540" s="29"/>
    </row>
    <row r="541" ht="15.75" customHeight="1">
      <c r="L541" s="28"/>
      <c r="O541" s="29"/>
    </row>
    <row r="542" ht="15.75" customHeight="1">
      <c r="L542" s="28"/>
      <c r="O542" s="29"/>
    </row>
    <row r="543" ht="15.75" customHeight="1">
      <c r="L543" s="28"/>
      <c r="O543" s="29"/>
    </row>
    <row r="544" ht="15.75" customHeight="1">
      <c r="L544" s="28"/>
      <c r="O544" s="29"/>
    </row>
    <row r="545" ht="15.75" customHeight="1">
      <c r="L545" s="28"/>
      <c r="O545" s="29"/>
    </row>
    <row r="546" ht="15.75" customHeight="1">
      <c r="L546" s="28"/>
      <c r="O546" s="29"/>
    </row>
    <row r="547" ht="15.75" customHeight="1">
      <c r="L547" s="28"/>
      <c r="O547" s="29"/>
    </row>
    <row r="548" ht="15.75" customHeight="1">
      <c r="L548" s="28"/>
      <c r="O548" s="29"/>
    </row>
    <row r="549" ht="15.75" customHeight="1">
      <c r="L549" s="28"/>
      <c r="O549" s="29"/>
    </row>
    <row r="550" ht="15.75" customHeight="1">
      <c r="L550" s="28"/>
      <c r="O550" s="29"/>
    </row>
    <row r="551" ht="15.75" customHeight="1">
      <c r="L551" s="28"/>
      <c r="O551" s="29"/>
    </row>
    <row r="552" ht="15.75" customHeight="1">
      <c r="L552" s="28"/>
      <c r="O552" s="29"/>
    </row>
    <row r="553" ht="15.75" customHeight="1">
      <c r="L553" s="28"/>
      <c r="O553" s="29"/>
    </row>
    <row r="554" ht="15.75" customHeight="1">
      <c r="L554" s="28"/>
      <c r="O554" s="29"/>
    </row>
    <row r="555" ht="15.75" customHeight="1">
      <c r="L555" s="28"/>
      <c r="O555" s="29"/>
    </row>
    <row r="556" ht="15.75" customHeight="1">
      <c r="L556" s="28"/>
      <c r="O556" s="29"/>
    </row>
    <row r="557" ht="15.75" customHeight="1">
      <c r="L557" s="28"/>
      <c r="O557" s="29"/>
    </row>
    <row r="558" ht="15.75" customHeight="1">
      <c r="L558" s="28"/>
      <c r="O558" s="29"/>
    </row>
    <row r="559" ht="15.75" customHeight="1">
      <c r="L559" s="28"/>
      <c r="O559" s="29"/>
    </row>
    <row r="560" ht="15.75" customHeight="1">
      <c r="L560" s="28"/>
      <c r="O560" s="29"/>
    </row>
    <row r="561" ht="15.75" customHeight="1">
      <c r="L561" s="28"/>
      <c r="O561" s="29"/>
    </row>
    <row r="562" ht="15.75" customHeight="1">
      <c r="L562" s="28"/>
      <c r="O562" s="29"/>
    </row>
    <row r="563" ht="15.75" customHeight="1">
      <c r="L563" s="28"/>
      <c r="O563" s="29"/>
    </row>
    <row r="564" ht="15.75" customHeight="1">
      <c r="L564" s="28"/>
      <c r="O564" s="29"/>
    </row>
    <row r="565" ht="15.75" customHeight="1">
      <c r="L565" s="28"/>
      <c r="O565" s="29"/>
    </row>
    <row r="566" ht="15.75" customHeight="1">
      <c r="L566" s="28"/>
      <c r="O566" s="29"/>
    </row>
    <row r="567" ht="15.75" customHeight="1">
      <c r="L567" s="28"/>
      <c r="O567" s="29"/>
    </row>
    <row r="568" ht="15.75" customHeight="1">
      <c r="L568" s="28"/>
      <c r="O568" s="29"/>
    </row>
    <row r="569" ht="15.75" customHeight="1">
      <c r="L569" s="28"/>
      <c r="O569" s="29"/>
    </row>
    <row r="570" ht="15.75" customHeight="1">
      <c r="L570" s="28"/>
      <c r="O570" s="29"/>
    </row>
    <row r="571" ht="15.75" customHeight="1">
      <c r="L571" s="28"/>
      <c r="O571" s="29"/>
    </row>
    <row r="572" ht="15.75" customHeight="1">
      <c r="L572" s="28"/>
      <c r="O572" s="29"/>
    </row>
    <row r="573" ht="15.75" customHeight="1">
      <c r="L573" s="28"/>
      <c r="O573" s="29"/>
    </row>
    <row r="574" ht="15.75" customHeight="1">
      <c r="L574" s="28"/>
      <c r="O574" s="29"/>
    </row>
    <row r="575" ht="15.75" customHeight="1">
      <c r="L575" s="28"/>
      <c r="O575" s="29"/>
    </row>
    <row r="576" ht="15.75" customHeight="1">
      <c r="L576" s="28"/>
      <c r="O576" s="29"/>
    </row>
    <row r="577" ht="15.75" customHeight="1">
      <c r="L577" s="28"/>
      <c r="O577" s="29"/>
    </row>
    <row r="578" ht="15.75" customHeight="1">
      <c r="L578" s="28"/>
      <c r="O578" s="29"/>
    </row>
    <row r="579" ht="15.75" customHeight="1">
      <c r="L579" s="28"/>
      <c r="O579" s="29"/>
    </row>
    <row r="580" ht="15.75" customHeight="1">
      <c r="L580" s="28"/>
      <c r="O580" s="29"/>
    </row>
    <row r="581" ht="15.75" customHeight="1">
      <c r="L581" s="28"/>
      <c r="O581" s="29"/>
    </row>
    <row r="582" ht="15.75" customHeight="1">
      <c r="L582" s="28"/>
      <c r="O582" s="29"/>
    </row>
    <row r="583" ht="15.75" customHeight="1">
      <c r="L583" s="28"/>
      <c r="O583" s="29"/>
    </row>
    <row r="584" ht="15.75" customHeight="1">
      <c r="L584" s="28"/>
      <c r="O584" s="29"/>
    </row>
    <row r="585" ht="15.75" customHeight="1">
      <c r="L585" s="28"/>
      <c r="O585" s="29"/>
    </row>
    <row r="586" ht="15.75" customHeight="1">
      <c r="L586" s="28"/>
      <c r="O586" s="29"/>
    </row>
    <row r="587" ht="15.75" customHeight="1">
      <c r="L587" s="28"/>
      <c r="O587" s="29"/>
    </row>
    <row r="588" ht="15.75" customHeight="1">
      <c r="L588" s="28"/>
      <c r="O588" s="29"/>
    </row>
    <row r="589" ht="15.75" customHeight="1">
      <c r="L589" s="28"/>
      <c r="O589" s="29"/>
    </row>
    <row r="590" ht="15.75" customHeight="1">
      <c r="L590" s="28"/>
      <c r="O590" s="29"/>
    </row>
    <row r="591" ht="15.75" customHeight="1">
      <c r="L591" s="28"/>
      <c r="O591" s="29"/>
    </row>
    <row r="592" ht="15.75" customHeight="1">
      <c r="L592" s="28"/>
      <c r="O592" s="29"/>
    </row>
    <row r="593" ht="15.75" customHeight="1">
      <c r="L593" s="28"/>
      <c r="O593" s="29"/>
    </row>
    <row r="594" ht="15.75" customHeight="1">
      <c r="L594" s="28"/>
      <c r="O594" s="29"/>
    </row>
    <row r="595" ht="15.75" customHeight="1">
      <c r="L595" s="28"/>
      <c r="O595" s="29"/>
    </row>
    <row r="596" ht="15.75" customHeight="1">
      <c r="L596" s="28"/>
      <c r="O596" s="29"/>
    </row>
    <row r="597" ht="15.75" customHeight="1">
      <c r="L597" s="28"/>
      <c r="O597" s="29"/>
    </row>
    <row r="598" ht="15.75" customHeight="1">
      <c r="L598" s="28"/>
      <c r="O598" s="29"/>
    </row>
    <row r="599" ht="15.75" customHeight="1">
      <c r="L599" s="28"/>
      <c r="O599" s="29"/>
    </row>
    <row r="600" ht="15.75" customHeight="1">
      <c r="L600" s="28"/>
      <c r="O600" s="29"/>
    </row>
    <row r="601" ht="15.75" customHeight="1">
      <c r="L601" s="28"/>
      <c r="O601" s="29"/>
    </row>
    <row r="602" ht="15.75" customHeight="1">
      <c r="L602" s="28"/>
      <c r="O602" s="29"/>
    </row>
    <row r="603" ht="15.75" customHeight="1">
      <c r="L603" s="28"/>
      <c r="O603" s="29"/>
    </row>
    <row r="604" ht="15.75" customHeight="1">
      <c r="L604" s="28"/>
      <c r="O604" s="29"/>
    </row>
    <row r="605" ht="15.75" customHeight="1">
      <c r="L605" s="28"/>
      <c r="O605" s="29"/>
    </row>
    <row r="606" ht="15.75" customHeight="1">
      <c r="L606" s="28"/>
      <c r="O606" s="29"/>
    </row>
    <row r="607" ht="15.75" customHeight="1">
      <c r="L607" s="28"/>
      <c r="O607" s="29"/>
    </row>
    <row r="608" ht="15.75" customHeight="1">
      <c r="L608" s="28"/>
      <c r="O608" s="29"/>
    </row>
    <row r="609" ht="15.75" customHeight="1">
      <c r="L609" s="28"/>
      <c r="O609" s="29"/>
    </row>
    <row r="610" ht="15.75" customHeight="1">
      <c r="L610" s="28"/>
      <c r="O610" s="29"/>
    </row>
    <row r="611" ht="15.75" customHeight="1">
      <c r="L611" s="28"/>
      <c r="O611" s="29"/>
    </row>
    <row r="612" ht="15.75" customHeight="1">
      <c r="L612" s="28"/>
      <c r="O612" s="29"/>
    </row>
    <row r="613" ht="15.75" customHeight="1">
      <c r="L613" s="28"/>
      <c r="O613" s="29"/>
    </row>
    <row r="614" ht="15.75" customHeight="1">
      <c r="L614" s="28"/>
      <c r="O614" s="29"/>
    </row>
    <row r="615" ht="15.75" customHeight="1">
      <c r="L615" s="28"/>
      <c r="O615" s="29"/>
    </row>
    <row r="616" ht="15.75" customHeight="1">
      <c r="L616" s="28"/>
      <c r="O616" s="29"/>
    </row>
    <row r="617" ht="15.75" customHeight="1">
      <c r="L617" s="28"/>
      <c r="O617" s="29"/>
    </row>
    <row r="618" ht="15.75" customHeight="1">
      <c r="L618" s="28"/>
      <c r="O618" s="29"/>
    </row>
    <row r="619" ht="15.75" customHeight="1">
      <c r="L619" s="28"/>
      <c r="O619" s="29"/>
    </row>
    <row r="620" ht="15.75" customHeight="1">
      <c r="L620" s="28"/>
      <c r="O620" s="29"/>
    </row>
    <row r="621" ht="15.75" customHeight="1">
      <c r="L621" s="28"/>
      <c r="O621" s="29"/>
    </row>
    <row r="622" ht="15.75" customHeight="1">
      <c r="L622" s="28"/>
      <c r="O622" s="29"/>
    </row>
    <row r="623" ht="15.75" customHeight="1">
      <c r="L623" s="28"/>
      <c r="O623" s="29"/>
    </row>
    <row r="624" ht="15.75" customHeight="1">
      <c r="L624" s="28"/>
      <c r="O624" s="29"/>
    </row>
    <row r="625" ht="15.75" customHeight="1">
      <c r="L625" s="28"/>
      <c r="O625" s="29"/>
    </row>
    <row r="626" ht="15.75" customHeight="1">
      <c r="L626" s="28"/>
      <c r="O626" s="29"/>
    </row>
    <row r="627" ht="15.75" customHeight="1">
      <c r="L627" s="28"/>
      <c r="O627" s="29"/>
    </row>
    <row r="628" ht="15.75" customHeight="1">
      <c r="L628" s="28"/>
      <c r="O628" s="29"/>
    </row>
    <row r="629" ht="15.75" customHeight="1">
      <c r="L629" s="28"/>
      <c r="O629" s="29"/>
    </row>
    <row r="630" ht="15.75" customHeight="1">
      <c r="L630" s="28"/>
      <c r="O630" s="29"/>
    </row>
    <row r="631" ht="15.75" customHeight="1">
      <c r="L631" s="28"/>
      <c r="O631" s="29"/>
    </row>
    <row r="632" ht="15.75" customHeight="1">
      <c r="L632" s="28"/>
      <c r="O632" s="29"/>
    </row>
    <row r="633" ht="15.75" customHeight="1">
      <c r="L633" s="28"/>
      <c r="O633" s="29"/>
    </row>
    <row r="634" ht="15.75" customHeight="1">
      <c r="L634" s="28"/>
      <c r="O634" s="29"/>
    </row>
    <row r="635" ht="15.75" customHeight="1">
      <c r="L635" s="28"/>
      <c r="O635" s="29"/>
    </row>
    <row r="636" ht="15.75" customHeight="1">
      <c r="L636" s="28"/>
      <c r="O636" s="29"/>
    </row>
    <row r="637" ht="15.75" customHeight="1">
      <c r="L637" s="28"/>
      <c r="O637" s="29"/>
    </row>
    <row r="638" ht="15.75" customHeight="1">
      <c r="L638" s="28"/>
      <c r="O638" s="29"/>
    </row>
    <row r="639" ht="15.75" customHeight="1">
      <c r="L639" s="28"/>
      <c r="O639" s="29"/>
    </row>
    <row r="640" ht="15.75" customHeight="1">
      <c r="L640" s="28"/>
      <c r="O640" s="29"/>
    </row>
    <row r="641" ht="15.75" customHeight="1">
      <c r="L641" s="28"/>
      <c r="O641" s="29"/>
    </row>
    <row r="642" ht="15.75" customHeight="1">
      <c r="L642" s="28"/>
      <c r="O642" s="29"/>
    </row>
    <row r="643" ht="15.75" customHeight="1">
      <c r="L643" s="28"/>
      <c r="O643" s="29"/>
    </row>
    <row r="644" ht="15.75" customHeight="1">
      <c r="L644" s="28"/>
      <c r="O644" s="29"/>
    </row>
    <row r="645" ht="15.75" customHeight="1">
      <c r="L645" s="28"/>
      <c r="O645" s="29"/>
    </row>
    <row r="646" ht="15.75" customHeight="1">
      <c r="L646" s="28"/>
      <c r="O646" s="29"/>
    </row>
    <row r="647" ht="15.75" customHeight="1">
      <c r="L647" s="28"/>
      <c r="O647" s="29"/>
    </row>
    <row r="648" ht="15.75" customHeight="1">
      <c r="L648" s="28"/>
      <c r="O648" s="29"/>
    </row>
    <row r="649" ht="15.75" customHeight="1">
      <c r="L649" s="28"/>
      <c r="O649" s="29"/>
    </row>
    <row r="650" ht="15.75" customHeight="1">
      <c r="L650" s="28"/>
      <c r="O650" s="29"/>
    </row>
    <row r="651" ht="15.75" customHeight="1">
      <c r="L651" s="28"/>
      <c r="O651" s="29"/>
    </row>
    <row r="652" ht="15.75" customHeight="1">
      <c r="L652" s="28"/>
      <c r="O652" s="29"/>
    </row>
    <row r="653" ht="15.75" customHeight="1">
      <c r="L653" s="28"/>
      <c r="O653" s="29"/>
    </row>
    <row r="654" ht="15.75" customHeight="1">
      <c r="L654" s="28"/>
      <c r="O654" s="29"/>
    </row>
    <row r="655" ht="15.75" customHeight="1">
      <c r="L655" s="28"/>
      <c r="O655" s="29"/>
    </row>
    <row r="656" ht="15.75" customHeight="1">
      <c r="L656" s="28"/>
      <c r="O656" s="29"/>
    </row>
    <row r="657" ht="15.75" customHeight="1">
      <c r="L657" s="28"/>
      <c r="O657" s="29"/>
    </row>
    <row r="658" ht="15.75" customHeight="1">
      <c r="L658" s="28"/>
      <c r="O658" s="29"/>
    </row>
    <row r="659" ht="15.75" customHeight="1">
      <c r="L659" s="28"/>
      <c r="O659" s="29"/>
    </row>
    <row r="660" ht="15.75" customHeight="1">
      <c r="L660" s="28"/>
      <c r="O660" s="29"/>
    </row>
    <row r="661" ht="15.75" customHeight="1">
      <c r="L661" s="28"/>
      <c r="O661" s="29"/>
    </row>
    <row r="662" ht="15.75" customHeight="1">
      <c r="L662" s="28"/>
      <c r="O662" s="29"/>
    </row>
    <row r="663" ht="15.75" customHeight="1">
      <c r="L663" s="28"/>
      <c r="O663" s="29"/>
    </row>
    <row r="664" ht="15.75" customHeight="1">
      <c r="L664" s="28"/>
      <c r="O664" s="29"/>
    </row>
    <row r="665" ht="15.75" customHeight="1">
      <c r="L665" s="28"/>
      <c r="O665" s="29"/>
    </row>
    <row r="666" ht="15.75" customHeight="1">
      <c r="L666" s="28"/>
      <c r="O666" s="29"/>
    </row>
    <row r="667" ht="15.75" customHeight="1">
      <c r="L667" s="28"/>
      <c r="O667" s="29"/>
    </row>
    <row r="668" ht="15.75" customHeight="1">
      <c r="L668" s="28"/>
      <c r="O668" s="29"/>
    </row>
    <row r="669" ht="15.75" customHeight="1">
      <c r="L669" s="28"/>
      <c r="O669" s="29"/>
    </row>
    <row r="670" ht="15.75" customHeight="1">
      <c r="L670" s="28"/>
      <c r="O670" s="29"/>
    </row>
    <row r="671" ht="15.75" customHeight="1">
      <c r="L671" s="28"/>
      <c r="O671" s="29"/>
    </row>
    <row r="672" ht="15.75" customHeight="1">
      <c r="L672" s="28"/>
      <c r="O672" s="29"/>
    </row>
    <row r="673" ht="15.75" customHeight="1">
      <c r="L673" s="28"/>
      <c r="O673" s="29"/>
    </row>
    <row r="674" ht="15.75" customHeight="1">
      <c r="L674" s="28"/>
      <c r="O674" s="29"/>
    </row>
    <row r="675" ht="15.75" customHeight="1">
      <c r="L675" s="28"/>
      <c r="O675" s="29"/>
    </row>
    <row r="676" ht="15.75" customHeight="1">
      <c r="L676" s="28"/>
      <c r="O676" s="29"/>
    </row>
    <row r="677" ht="15.75" customHeight="1">
      <c r="L677" s="28"/>
      <c r="O677" s="29"/>
    </row>
    <row r="678" ht="15.75" customHeight="1">
      <c r="L678" s="28"/>
      <c r="O678" s="29"/>
    </row>
    <row r="679" ht="15.75" customHeight="1">
      <c r="L679" s="28"/>
      <c r="O679" s="29"/>
    </row>
    <row r="680" ht="15.75" customHeight="1">
      <c r="L680" s="28"/>
      <c r="O680" s="29"/>
    </row>
    <row r="681" ht="15.75" customHeight="1">
      <c r="L681" s="28"/>
      <c r="O681" s="29"/>
    </row>
    <row r="682" ht="15.75" customHeight="1">
      <c r="L682" s="28"/>
      <c r="O682" s="29"/>
    </row>
    <row r="683" ht="15.75" customHeight="1">
      <c r="L683" s="28"/>
      <c r="O683" s="29"/>
    </row>
    <row r="684" ht="15.75" customHeight="1">
      <c r="L684" s="28"/>
      <c r="O684" s="29"/>
    </row>
    <row r="685" ht="15.75" customHeight="1">
      <c r="L685" s="28"/>
      <c r="O685" s="29"/>
    </row>
    <row r="686" ht="15.75" customHeight="1">
      <c r="L686" s="28"/>
      <c r="O686" s="29"/>
    </row>
    <row r="687" ht="15.75" customHeight="1">
      <c r="L687" s="28"/>
      <c r="O687" s="29"/>
    </row>
    <row r="688" ht="15.75" customHeight="1">
      <c r="L688" s="28"/>
      <c r="O688" s="29"/>
    </row>
    <row r="689" ht="15.75" customHeight="1">
      <c r="L689" s="28"/>
      <c r="O689" s="29"/>
    </row>
    <row r="690" ht="15.75" customHeight="1">
      <c r="L690" s="28"/>
      <c r="O690" s="29"/>
    </row>
    <row r="691" ht="15.75" customHeight="1">
      <c r="L691" s="28"/>
      <c r="O691" s="29"/>
    </row>
    <row r="692" ht="15.75" customHeight="1">
      <c r="L692" s="28"/>
      <c r="O692" s="29"/>
    </row>
    <row r="693" ht="15.75" customHeight="1">
      <c r="L693" s="28"/>
      <c r="O693" s="29"/>
    </row>
    <row r="694" ht="15.75" customHeight="1">
      <c r="L694" s="28"/>
      <c r="O694" s="29"/>
    </row>
    <row r="695" ht="15.75" customHeight="1">
      <c r="L695" s="28"/>
      <c r="O695" s="29"/>
    </row>
    <row r="696" ht="15.75" customHeight="1">
      <c r="L696" s="28"/>
      <c r="O696" s="29"/>
    </row>
    <row r="697" ht="15.75" customHeight="1">
      <c r="L697" s="28"/>
      <c r="O697" s="29"/>
    </row>
    <row r="698" ht="15.75" customHeight="1">
      <c r="L698" s="28"/>
      <c r="O698" s="29"/>
    </row>
    <row r="699" ht="15.75" customHeight="1">
      <c r="L699" s="28"/>
      <c r="O699" s="29"/>
    </row>
    <row r="700" ht="15.75" customHeight="1">
      <c r="L700" s="28"/>
      <c r="O700" s="29"/>
    </row>
    <row r="701" ht="15.75" customHeight="1">
      <c r="L701" s="28"/>
      <c r="O701" s="29"/>
    </row>
    <row r="702" ht="15.75" customHeight="1">
      <c r="L702" s="28"/>
      <c r="O702" s="29"/>
    </row>
    <row r="703" ht="15.75" customHeight="1">
      <c r="L703" s="28"/>
      <c r="O703" s="29"/>
    </row>
    <row r="704" ht="15.75" customHeight="1">
      <c r="L704" s="28"/>
      <c r="O704" s="29"/>
    </row>
    <row r="705" ht="15.75" customHeight="1">
      <c r="L705" s="28"/>
      <c r="O705" s="29"/>
    </row>
    <row r="706" ht="15.75" customHeight="1">
      <c r="L706" s="28"/>
      <c r="O706" s="29"/>
    </row>
    <row r="707" ht="15.75" customHeight="1">
      <c r="L707" s="28"/>
      <c r="O707" s="29"/>
    </row>
    <row r="708" ht="15.75" customHeight="1">
      <c r="L708" s="28"/>
      <c r="O708" s="29"/>
    </row>
    <row r="709" ht="15.75" customHeight="1">
      <c r="L709" s="28"/>
      <c r="O709" s="29"/>
    </row>
    <row r="710" ht="15.75" customHeight="1">
      <c r="L710" s="28"/>
      <c r="O710" s="29"/>
    </row>
    <row r="711" ht="15.75" customHeight="1">
      <c r="L711" s="28"/>
      <c r="O711" s="29"/>
    </row>
    <row r="712" ht="15.75" customHeight="1">
      <c r="L712" s="28"/>
      <c r="O712" s="29"/>
    </row>
    <row r="713" ht="15.75" customHeight="1">
      <c r="L713" s="28"/>
      <c r="O713" s="29"/>
    </row>
    <row r="714" ht="15.75" customHeight="1">
      <c r="L714" s="28"/>
      <c r="O714" s="29"/>
    </row>
    <row r="715" ht="15.75" customHeight="1">
      <c r="L715" s="28"/>
      <c r="O715" s="29"/>
    </row>
    <row r="716" ht="15.75" customHeight="1">
      <c r="L716" s="28"/>
      <c r="O716" s="29"/>
    </row>
    <row r="717" ht="15.75" customHeight="1">
      <c r="L717" s="28"/>
      <c r="O717" s="29"/>
    </row>
    <row r="718" ht="15.75" customHeight="1">
      <c r="L718" s="28"/>
      <c r="O718" s="29"/>
    </row>
    <row r="719" ht="15.75" customHeight="1">
      <c r="L719" s="28"/>
      <c r="O719" s="29"/>
    </row>
    <row r="720" ht="15.75" customHeight="1">
      <c r="L720" s="28"/>
      <c r="O720" s="29"/>
    </row>
    <row r="721" ht="15.75" customHeight="1">
      <c r="L721" s="28"/>
      <c r="O721" s="29"/>
    </row>
    <row r="722" ht="15.75" customHeight="1">
      <c r="L722" s="28"/>
      <c r="O722" s="29"/>
    </row>
    <row r="723" ht="15.75" customHeight="1">
      <c r="L723" s="28"/>
      <c r="O723" s="29"/>
    </row>
    <row r="724" ht="15.75" customHeight="1">
      <c r="L724" s="28"/>
      <c r="O724" s="29"/>
    </row>
    <row r="725" ht="15.75" customHeight="1">
      <c r="L725" s="28"/>
      <c r="O725" s="29"/>
    </row>
    <row r="726" ht="15.75" customHeight="1">
      <c r="L726" s="28"/>
      <c r="O726" s="29"/>
    </row>
    <row r="727" ht="15.75" customHeight="1">
      <c r="L727" s="28"/>
      <c r="O727" s="29"/>
    </row>
    <row r="728" ht="15.75" customHeight="1">
      <c r="L728" s="28"/>
      <c r="O728" s="29"/>
    </row>
    <row r="729" ht="15.75" customHeight="1">
      <c r="L729" s="28"/>
      <c r="O729" s="29"/>
    </row>
    <row r="730" ht="15.75" customHeight="1">
      <c r="L730" s="28"/>
      <c r="O730" s="29"/>
    </row>
    <row r="731" ht="15.75" customHeight="1">
      <c r="L731" s="28"/>
      <c r="O731" s="29"/>
    </row>
    <row r="732" ht="15.75" customHeight="1">
      <c r="L732" s="28"/>
      <c r="O732" s="29"/>
    </row>
    <row r="733" ht="15.75" customHeight="1">
      <c r="L733" s="28"/>
      <c r="O733" s="29"/>
    </row>
    <row r="734" ht="15.75" customHeight="1">
      <c r="L734" s="28"/>
      <c r="O734" s="29"/>
    </row>
    <row r="735" ht="15.75" customHeight="1">
      <c r="L735" s="28"/>
      <c r="O735" s="29"/>
    </row>
    <row r="736" ht="15.75" customHeight="1">
      <c r="L736" s="28"/>
      <c r="O736" s="29"/>
    </row>
    <row r="737" ht="15.75" customHeight="1">
      <c r="L737" s="28"/>
      <c r="O737" s="29"/>
    </row>
    <row r="738" ht="15.75" customHeight="1">
      <c r="L738" s="28"/>
      <c r="O738" s="29"/>
    </row>
    <row r="739" ht="15.75" customHeight="1">
      <c r="L739" s="28"/>
      <c r="O739" s="29"/>
    </row>
    <row r="740" ht="15.75" customHeight="1">
      <c r="L740" s="28"/>
      <c r="O740" s="29"/>
    </row>
    <row r="741" ht="15.75" customHeight="1">
      <c r="L741" s="28"/>
      <c r="O741" s="29"/>
    </row>
    <row r="742" ht="15.75" customHeight="1">
      <c r="L742" s="28"/>
      <c r="O742" s="29"/>
    </row>
    <row r="743" ht="15.75" customHeight="1">
      <c r="L743" s="28"/>
      <c r="O743" s="29"/>
    </row>
    <row r="744" ht="15.75" customHeight="1">
      <c r="L744" s="28"/>
      <c r="O744" s="29"/>
    </row>
    <row r="745" ht="15.75" customHeight="1">
      <c r="L745" s="28"/>
      <c r="O745" s="29"/>
    </row>
    <row r="746" ht="15.75" customHeight="1">
      <c r="L746" s="28"/>
      <c r="O746" s="29"/>
    </row>
    <row r="747" ht="15.75" customHeight="1">
      <c r="O747" s="29"/>
    </row>
    <row r="748" ht="15.75" customHeight="1">
      <c r="O748" s="29"/>
    </row>
    <row r="749" ht="15.75" customHeight="1">
      <c r="O749" s="29"/>
    </row>
    <row r="750" ht="15.75" customHeight="1">
      <c r="O750" s="29"/>
    </row>
    <row r="751" ht="15.75" customHeight="1">
      <c r="O751" s="29"/>
    </row>
    <row r="752" ht="15.75" customHeight="1">
      <c r="O752" s="29"/>
    </row>
    <row r="753" ht="15.75" customHeight="1">
      <c r="O753" s="29"/>
    </row>
    <row r="754" ht="15.75" customHeight="1">
      <c r="O754" s="29"/>
    </row>
    <row r="755" ht="15.75" customHeight="1">
      <c r="O755" s="29"/>
    </row>
    <row r="756" ht="15.75" customHeight="1">
      <c r="O756" s="29"/>
    </row>
    <row r="757" ht="15.75" customHeight="1">
      <c r="O757" s="29"/>
    </row>
    <row r="758" ht="15.75" customHeight="1">
      <c r="O758" s="29"/>
    </row>
    <row r="759" ht="15.75" customHeight="1">
      <c r="O759" s="29"/>
    </row>
    <row r="760" ht="15.75" customHeight="1">
      <c r="O760" s="29"/>
    </row>
    <row r="761" ht="15.75" customHeight="1">
      <c r="O761" s="29"/>
    </row>
    <row r="762" ht="15.75" customHeight="1">
      <c r="O762" s="29"/>
    </row>
    <row r="763" ht="15.75" customHeight="1">
      <c r="O763" s="29"/>
    </row>
    <row r="764" ht="15.75" customHeight="1">
      <c r="O764" s="29"/>
    </row>
    <row r="765" ht="15.75" customHeight="1">
      <c r="O765" s="29"/>
    </row>
    <row r="766" ht="15.75" customHeight="1">
      <c r="O766" s="29"/>
    </row>
    <row r="767" ht="15.75" customHeight="1">
      <c r="O767" s="29"/>
    </row>
    <row r="768" ht="15.75" customHeight="1">
      <c r="O768" s="29"/>
    </row>
    <row r="769" ht="15.75" customHeight="1">
      <c r="O769" s="29"/>
    </row>
    <row r="770" ht="15.75" customHeight="1">
      <c r="O770" s="29"/>
    </row>
    <row r="771" ht="15.75" customHeight="1">
      <c r="O771" s="29"/>
    </row>
    <row r="772" ht="15.75" customHeight="1">
      <c r="O772" s="29"/>
    </row>
    <row r="773" ht="15.75" customHeight="1">
      <c r="O773" s="29"/>
    </row>
    <row r="774" ht="15.75" customHeight="1">
      <c r="O774" s="29"/>
    </row>
    <row r="775" ht="15.75" customHeight="1">
      <c r="O775" s="29"/>
    </row>
    <row r="776" ht="15.75" customHeight="1">
      <c r="O776" s="29"/>
    </row>
    <row r="777" ht="15.75" customHeight="1">
      <c r="O777" s="29"/>
    </row>
    <row r="778" ht="15.75" customHeight="1">
      <c r="O778" s="29"/>
    </row>
    <row r="779" ht="15.75" customHeight="1">
      <c r="O779" s="29"/>
    </row>
    <row r="780" ht="15.75" customHeight="1">
      <c r="O780" s="29"/>
    </row>
    <row r="781" ht="15.75" customHeight="1">
      <c r="O781" s="29"/>
    </row>
    <row r="782" ht="15.75" customHeight="1">
      <c r="O782" s="29"/>
    </row>
    <row r="783" ht="15.75" customHeight="1">
      <c r="O783" s="29"/>
    </row>
    <row r="784" ht="15.75" customHeight="1">
      <c r="O784" s="29"/>
    </row>
    <row r="785" ht="15.75" customHeight="1">
      <c r="O785" s="29"/>
    </row>
    <row r="786" ht="15.75" customHeight="1">
      <c r="O786" s="29"/>
    </row>
    <row r="787" ht="15.75" customHeight="1">
      <c r="O787" s="29"/>
    </row>
    <row r="788" ht="15.75" customHeight="1">
      <c r="O788" s="29"/>
    </row>
    <row r="789" ht="15.75" customHeight="1">
      <c r="O789" s="29"/>
    </row>
    <row r="790" ht="15.75" customHeight="1">
      <c r="O790" s="29"/>
    </row>
    <row r="791" ht="15.75" customHeight="1">
      <c r="O791" s="29"/>
    </row>
    <row r="792" ht="15.75" customHeight="1">
      <c r="O792" s="29"/>
    </row>
    <row r="793" ht="15.75" customHeight="1">
      <c r="O793" s="29"/>
    </row>
    <row r="794" ht="15.75" customHeight="1">
      <c r="O794" s="29"/>
    </row>
    <row r="795" ht="15.75" customHeight="1">
      <c r="O795" s="29"/>
    </row>
    <row r="796" ht="15.75" customHeight="1">
      <c r="O796" s="29"/>
    </row>
    <row r="797" ht="15.75" customHeight="1">
      <c r="O797" s="29"/>
    </row>
    <row r="798" ht="15.75" customHeight="1">
      <c r="O798" s="29"/>
    </row>
    <row r="799" ht="15.75" customHeight="1">
      <c r="O799" s="29"/>
    </row>
    <row r="800" ht="15.75" customHeight="1">
      <c r="O800" s="29"/>
    </row>
    <row r="801" ht="15.75" customHeight="1">
      <c r="O801" s="29"/>
    </row>
    <row r="802" ht="15.75" customHeight="1">
      <c r="O802" s="29"/>
    </row>
    <row r="803" ht="15.75" customHeight="1">
      <c r="O803" s="29"/>
    </row>
    <row r="804" ht="15.75" customHeight="1">
      <c r="O804" s="29"/>
    </row>
    <row r="805" ht="15.75" customHeight="1">
      <c r="O805" s="29"/>
    </row>
    <row r="806" ht="15.75" customHeight="1">
      <c r="O806" s="29"/>
    </row>
    <row r="807" ht="15.75" customHeight="1">
      <c r="O807" s="29"/>
    </row>
    <row r="808" ht="15.75" customHeight="1">
      <c r="O808" s="29"/>
    </row>
    <row r="809" ht="15.75" customHeight="1">
      <c r="O809" s="29"/>
    </row>
    <row r="810" ht="15.75" customHeight="1">
      <c r="O810" s="29"/>
    </row>
    <row r="811" ht="15.75" customHeight="1">
      <c r="O811" s="29"/>
    </row>
    <row r="812" ht="15.75" customHeight="1">
      <c r="O812" s="29"/>
    </row>
    <row r="813" ht="15.75" customHeight="1">
      <c r="O813" s="29"/>
    </row>
    <row r="814" ht="15.75" customHeight="1">
      <c r="O814" s="29"/>
    </row>
    <row r="815" ht="15.75" customHeight="1">
      <c r="O815" s="29"/>
    </row>
    <row r="816" ht="15.75" customHeight="1">
      <c r="O816" s="29"/>
    </row>
    <row r="817" ht="15.75" customHeight="1">
      <c r="O817" s="29"/>
    </row>
    <row r="818" ht="15.75" customHeight="1">
      <c r="O818" s="29"/>
    </row>
    <row r="819" ht="15.75" customHeight="1">
      <c r="O819" s="29"/>
    </row>
    <row r="820" ht="15.75" customHeight="1">
      <c r="O820" s="29"/>
    </row>
    <row r="821" ht="15.75" customHeight="1">
      <c r="O821" s="29"/>
    </row>
    <row r="822" ht="15.75" customHeight="1">
      <c r="O822" s="29"/>
    </row>
    <row r="823" ht="15.75" customHeight="1">
      <c r="O823" s="29"/>
    </row>
    <row r="824" ht="15.75" customHeight="1">
      <c r="O824" s="29"/>
    </row>
    <row r="825" ht="15.75" customHeight="1">
      <c r="O825" s="29"/>
    </row>
    <row r="826" ht="15.75" customHeight="1">
      <c r="O826" s="29"/>
    </row>
    <row r="827" ht="15.75" customHeight="1">
      <c r="O827" s="29"/>
    </row>
    <row r="828" ht="15.75" customHeight="1">
      <c r="O828" s="29"/>
    </row>
    <row r="829" ht="15.75" customHeight="1">
      <c r="O829" s="29"/>
    </row>
    <row r="830" ht="15.75" customHeight="1">
      <c r="O830" s="29"/>
    </row>
    <row r="831" ht="15.75" customHeight="1">
      <c r="O831" s="29"/>
    </row>
    <row r="832" ht="15.75" customHeight="1">
      <c r="O832" s="29"/>
    </row>
    <row r="833" ht="15.75" customHeight="1">
      <c r="O833" s="29"/>
    </row>
    <row r="834" ht="15.75" customHeight="1">
      <c r="O834" s="29"/>
    </row>
    <row r="835" ht="15.75" customHeight="1">
      <c r="O835" s="29"/>
    </row>
    <row r="836" ht="15.75" customHeight="1">
      <c r="O836" s="29"/>
    </row>
    <row r="837" ht="15.75" customHeight="1">
      <c r="O837" s="29"/>
    </row>
    <row r="838" ht="15.75" customHeight="1">
      <c r="O838" s="29"/>
    </row>
    <row r="839" ht="15.75" customHeight="1">
      <c r="O839" s="29"/>
    </row>
    <row r="840" ht="15.75" customHeight="1">
      <c r="O840" s="29"/>
    </row>
    <row r="841" ht="15.75" customHeight="1">
      <c r="O841" s="29"/>
    </row>
    <row r="842" ht="15.75" customHeight="1">
      <c r="O842" s="29"/>
    </row>
    <row r="843" ht="15.75" customHeight="1">
      <c r="O843" s="29"/>
    </row>
    <row r="844" ht="15.75" customHeight="1">
      <c r="O844" s="29"/>
    </row>
    <row r="845" ht="15.75" customHeight="1">
      <c r="O845" s="29"/>
    </row>
    <row r="846" ht="15.75" customHeight="1">
      <c r="O846" s="29"/>
    </row>
    <row r="847" ht="15.75" customHeight="1">
      <c r="O847" s="29"/>
    </row>
    <row r="848" ht="15.75" customHeight="1">
      <c r="O848" s="29"/>
    </row>
    <row r="849" ht="15.75" customHeight="1">
      <c r="O849" s="29"/>
    </row>
    <row r="850" ht="15.75" customHeight="1">
      <c r="O850" s="29"/>
    </row>
    <row r="851" ht="15.75" customHeight="1">
      <c r="O851" s="29"/>
    </row>
    <row r="852" ht="15.75" customHeight="1">
      <c r="O852" s="29"/>
    </row>
    <row r="853" ht="15.75" customHeight="1">
      <c r="O853" s="29"/>
    </row>
    <row r="854" ht="15.75" customHeight="1">
      <c r="O854" s="29"/>
    </row>
    <row r="855" ht="15.75" customHeight="1">
      <c r="O855" s="29"/>
    </row>
    <row r="856" ht="15.75" customHeight="1">
      <c r="O856" s="29"/>
    </row>
    <row r="857" ht="15.75" customHeight="1">
      <c r="O857" s="29"/>
    </row>
    <row r="858" ht="15.75" customHeight="1">
      <c r="O858" s="29"/>
    </row>
    <row r="859" ht="15.75" customHeight="1">
      <c r="O859" s="29"/>
    </row>
    <row r="860" ht="15.75" customHeight="1">
      <c r="O860" s="29"/>
    </row>
    <row r="861" ht="15.75" customHeight="1">
      <c r="O861" s="29"/>
    </row>
    <row r="862" ht="15.75" customHeight="1">
      <c r="O862" s="29"/>
    </row>
    <row r="863" ht="15.75" customHeight="1">
      <c r="O863" s="29"/>
    </row>
    <row r="864" ht="15.75" customHeight="1">
      <c r="O864" s="29"/>
    </row>
    <row r="865" ht="15.75" customHeight="1">
      <c r="O865" s="29"/>
    </row>
    <row r="866" ht="15.75" customHeight="1">
      <c r="O866" s="29"/>
    </row>
    <row r="867" ht="15.75" customHeight="1">
      <c r="O867" s="29"/>
    </row>
    <row r="868" ht="15.75" customHeight="1">
      <c r="O868" s="29"/>
    </row>
    <row r="869" ht="15.75" customHeight="1">
      <c r="O869" s="29"/>
    </row>
    <row r="870" ht="15.75" customHeight="1">
      <c r="O870" s="29"/>
    </row>
    <row r="871" ht="15.75" customHeight="1">
      <c r="O871" s="29"/>
    </row>
    <row r="872" ht="15.75" customHeight="1">
      <c r="O872" s="29"/>
    </row>
    <row r="873" ht="15.75" customHeight="1">
      <c r="O873" s="29"/>
    </row>
    <row r="874" ht="15.75" customHeight="1">
      <c r="O874" s="29"/>
    </row>
    <row r="875" ht="15.75" customHeight="1">
      <c r="O875" s="29"/>
    </row>
    <row r="876" ht="15.75" customHeight="1">
      <c r="O876" s="29"/>
    </row>
    <row r="877" ht="15.75" customHeight="1">
      <c r="O877" s="29"/>
    </row>
    <row r="878" ht="15.75" customHeight="1">
      <c r="O878" s="29"/>
    </row>
    <row r="879" ht="15.75" customHeight="1">
      <c r="O879" s="29"/>
    </row>
    <row r="880" ht="15.75" customHeight="1">
      <c r="O880" s="29"/>
    </row>
    <row r="881" ht="15.75" customHeight="1">
      <c r="O881" s="29"/>
    </row>
    <row r="882" ht="15.75" customHeight="1">
      <c r="O882" s="29"/>
    </row>
    <row r="883" ht="15.75" customHeight="1">
      <c r="O883" s="29"/>
    </row>
    <row r="884" ht="15.75" customHeight="1">
      <c r="O884" s="29"/>
    </row>
    <row r="885" ht="15.75" customHeight="1">
      <c r="O885" s="29"/>
    </row>
    <row r="886" ht="15.75" customHeight="1">
      <c r="O886" s="29"/>
    </row>
    <row r="887" ht="15.75" customHeight="1">
      <c r="O887" s="29"/>
    </row>
    <row r="888" ht="15.75" customHeight="1">
      <c r="O888" s="29"/>
    </row>
    <row r="889" ht="15.75" customHeight="1">
      <c r="O889" s="29"/>
    </row>
    <row r="890" ht="15.75" customHeight="1">
      <c r="O890" s="29"/>
    </row>
    <row r="891" ht="15.75" customHeight="1">
      <c r="O891" s="29"/>
    </row>
    <row r="892" ht="15.75" customHeight="1">
      <c r="O892" s="29"/>
    </row>
    <row r="893" ht="15.75" customHeight="1">
      <c r="O893" s="29"/>
    </row>
    <row r="894" ht="15.75" customHeight="1">
      <c r="O894" s="29"/>
    </row>
    <row r="895" ht="15.75" customHeight="1">
      <c r="O895" s="29"/>
    </row>
    <row r="896" ht="15.75" customHeight="1">
      <c r="O896" s="29"/>
    </row>
    <row r="897" ht="15.75" customHeight="1">
      <c r="O897" s="29"/>
    </row>
    <row r="898" ht="15.75" customHeight="1">
      <c r="O898" s="29"/>
    </row>
    <row r="899" ht="15.75" customHeight="1">
      <c r="O899" s="29"/>
    </row>
    <row r="900" ht="15.75" customHeight="1">
      <c r="O900" s="29"/>
    </row>
    <row r="901" ht="15.75" customHeight="1">
      <c r="O901" s="29"/>
    </row>
    <row r="902" ht="15.75" customHeight="1">
      <c r="O902" s="29"/>
    </row>
    <row r="903" ht="15.75" customHeight="1">
      <c r="O903" s="29"/>
    </row>
    <row r="904" ht="15.75" customHeight="1">
      <c r="O904" s="29"/>
    </row>
    <row r="905" ht="15.75" customHeight="1">
      <c r="O905" s="29"/>
    </row>
    <row r="906" ht="15.75" customHeight="1">
      <c r="O906" s="29"/>
    </row>
    <row r="907" ht="15.75" customHeight="1">
      <c r="O907" s="29"/>
    </row>
    <row r="908" ht="15.75" customHeight="1">
      <c r="O908" s="29"/>
    </row>
    <row r="909" ht="15.75" customHeight="1">
      <c r="O909" s="29"/>
    </row>
    <row r="910" ht="15.75" customHeight="1">
      <c r="O910" s="29"/>
    </row>
    <row r="911" ht="15.75" customHeight="1">
      <c r="O911" s="29"/>
    </row>
    <row r="912" ht="15.75" customHeight="1">
      <c r="O912" s="29"/>
    </row>
    <row r="913" ht="15.75" customHeight="1">
      <c r="O913" s="29"/>
    </row>
    <row r="914" ht="15.75" customHeight="1">
      <c r="O914" s="29"/>
    </row>
    <row r="915" ht="15.75" customHeight="1">
      <c r="O915" s="29"/>
    </row>
    <row r="916" ht="15.75" customHeight="1">
      <c r="O916" s="29"/>
    </row>
    <row r="917" ht="15.75" customHeight="1">
      <c r="O917" s="29"/>
    </row>
    <row r="918" ht="15.75" customHeight="1">
      <c r="O918" s="29"/>
    </row>
    <row r="919" ht="15.75" customHeight="1">
      <c r="O919" s="29"/>
    </row>
    <row r="920" ht="15.75" customHeight="1">
      <c r="O920" s="29"/>
    </row>
    <row r="921" ht="15.75" customHeight="1">
      <c r="O921" s="29"/>
    </row>
    <row r="922" ht="15.75" customHeight="1">
      <c r="O922" s="29"/>
    </row>
    <row r="923" ht="15.75" customHeight="1">
      <c r="O923" s="29"/>
    </row>
    <row r="924" ht="15.75" customHeight="1">
      <c r="O924" s="29"/>
    </row>
    <row r="925" ht="15.75" customHeight="1">
      <c r="O925" s="29"/>
    </row>
    <row r="926" ht="15.75" customHeight="1">
      <c r="O926" s="29"/>
    </row>
    <row r="927" ht="15.75" customHeight="1">
      <c r="O927" s="29"/>
    </row>
    <row r="928" ht="15.75" customHeight="1">
      <c r="O928" s="29"/>
    </row>
    <row r="929" ht="15.75" customHeight="1">
      <c r="O929" s="29"/>
    </row>
    <row r="930" ht="15.75" customHeight="1">
      <c r="O930" s="29"/>
    </row>
    <row r="931" ht="15.75" customHeight="1">
      <c r="O931" s="29"/>
    </row>
    <row r="932" ht="15.75" customHeight="1">
      <c r="O932" s="29"/>
    </row>
    <row r="933" ht="15.75" customHeight="1">
      <c r="O933" s="29"/>
    </row>
    <row r="934" ht="15.75" customHeight="1">
      <c r="O934" s="29"/>
    </row>
    <row r="935" ht="15.75" customHeight="1">
      <c r="O935" s="29"/>
    </row>
    <row r="936" ht="15.75" customHeight="1">
      <c r="O936" s="29"/>
    </row>
    <row r="937" ht="15.75" customHeight="1">
      <c r="O937" s="29"/>
    </row>
    <row r="938" ht="15.75" customHeight="1">
      <c r="O938" s="29"/>
    </row>
    <row r="939" ht="15.75" customHeight="1">
      <c r="O939" s="29"/>
    </row>
    <row r="940" ht="15.75" customHeight="1">
      <c r="O940" s="29"/>
    </row>
    <row r="941" ht="15.75" customHeight="1">
      <c r="O941" s="29"/>
    </row>
    <row r="942" ht="15.75" customHeight="1">
      <c r="O942" s="29"/>
    </row>
    <row r="943" ht="15.75" customHeight="1">
      <c r="O943" s="29"/>
    </row>
    <row r="944" ht="15.75" customHeight="1">
      <c r="O944" s="29"/>
    </row>
    <row r="945" ht="15.75" customHeight="1">
      <c r="O945" s="29"/>
    </row>
    <row r="946" ht="15.75" customHeight="1">
      <c r="O946" s="29"/>
    </row>
    <row r="947" ht="15.75" customHeight="1">
      <c r="O947" s="29"/>
    </row>
    <row r="948" ht="15.75" customHeight="1">
      <c r="O948" s="29"/>
    </row>
    <row r="949" ht="15.75" customHeight="1">
      <c r="O949" s="29"/>
    </row>
    <row r="950" ht="15.75" customHeight="1">
      <c r="O950" s="29"/>
    </row>
    <row r="951" ht="15.75" customHeight="1">
      <c r="O951" s="29"/>
    </row>
    <row r="952" ht="15.75" customHeight="1">
      <c r="O952" s="29"/>
    </row>
    <row r="953" ht="15.75" customHeight="1">
      <c r="O953" s="29"/>
    </row>
    <row r="954" ht="15.75" customHeight="1">
      <c r="O954" s="29"/>
    </row>
    <row r="955" ht="15.75" customHeight="1">
      <c r="O955" s="29"/>
    </row>
    <row r="956" ht="15.75" customHeight="1">
      <c r="O956" s="29"/>
    </row>
    <row r="957" ht="15.75" customHeight="1">
      <c r="O957" s="29"/>
    </row>
    <row r="958" ht="15.75" customHeight="1">
      <c r="O958" s="29"/>
    </row>
    <row r="959" ht="15.75" customHeight="1">
      <c r="O959" s="29"/>
    </row>
    <row r="960" ht="15.75" customHeight="1">
      <c r="O960" s="29"/>
    </row>
    <row r="961" ht="15.75" customHeight="1">
      <c r="O961" s="29"/>
    </row>
    <row r="962" ht="15.75" customHeight="1">
      <c r="O962" s="29"/>
    </row>
    <row r="963" ht="15.75" customHeight="1">
      <c r="O963" s="29"/>
    </row>
    <row r="964" ht="15.75" customHeight="1">
      <c r="O964" s="29"/>
    </row>
    <row r="965" ht="15.75" customHeight="1">
      <c r="O965" s="29"/>
    </row>
    <row r="966" ht="15.75" customHeight="1">
      <c r="O966" s="29"/>
    </row>
    <row r="967" ht="15.75" customHeight="1">
      <c r="O967" s="29"/>
    </row>
    <row r="968" ht="15.75" customHeight="1">
      <c r="O968" s="29"/>
    </row>
    <row r="969" ht="15.75" customHeight="1">
      <c r="O969" s="29"/>
    </row>
    <row r="970" ht="15.75" customHeight="1">
      <c r="O970" s="29"/>
    </row>
    <row r="971" ht="15.75" customHeight="1">
      <c r="O971" s="29"/>
    </row>
    <row r="972" ht="15.75" customHeight="1">
      <c r="O972" s="29"/>
    </row>
    <row r="973" ht="15.75" customHeight="1">
      <c r="O973" s="29"/>
    </row>
    <row r="974" ht="15.75" customHeight="1">
      <c r="O974" s="29"/>
    </row>
    <row r="975" ht="15.75" customHeight="1">
      <c r="O975" s="29"/>
    </row>
    <row r="976" ht="15.75" customHeight="1">
      <c r="O976" s="29"/>
    </row>
    <row r="977" ht="15.75" customHeight="1">
      <c r="O977" s="29"/>
    </row>
    <row r="978" ht="15.75" customHeight="1">
      <c r="O978" s="29"/>
    </row>
    <row r="979" ht="15.75" customHeight="1">
      <c r="O979" s="29"/>
    </row>
    <row r="980" ht="15.75" customHeight="1">
      <c r="O980" s="29"/>
    </row>
    <row r="981" ht="15.75" customHeight="1">
      <c r="O981" s="29"/>
    </row>
    <row r="982" ht="15.75" customHeight="1">
      <c r="O982" s="29"/>
    </row>
    <row r="983" ht="15.75" customHeight="1">
      <c r="O983" s="29"/>
    </row>
    <row r="984" ht="15.75" customHeight="1">
      <c r="O984" s="29"/>
    </row>
    <row r="985" ht="15.75" customHeight="1">
      <c r="O985" s="29"/>
    </row>
    <row r="986" ht="15.75" customHeight="1">
      <c r="O986" s="29"/>
    </row>
    <row r="987" ht="15.75" customHeight="1">
      <c r="O987" s="29"/>
    </row>
    <row r="988" ht="15.75" customHeight="1">
      <c r="O988" s="29"/>
    </row>
    <row r="989" ht="15.75" customHeight="1">
      <c r="O989" s="29"/>
    </row>
    <row r="990" ht="15.75" customHeight="1">
      <c r="O990" s="29"/>
    </row>
    <row r="991" ht="15.75" customHeight="1">
      <c r="O991" s="29"/>
    </row>
    <row r="992" ht="15.75" customHeight="1">
      <c r="O992" s="29"/>
    </row>
    <row r="993" ht="15.75" customHeight="1">
      <c r="O993" s="29"/>
    </row>
    <row r="994" ht="15.75" customHeight="1">
      <c r="O994" s="29"/>
    </row>
    <row r="995" ht="15.75" customHeight="1">
      <c r="O995" s="29"/>
    </row>
    <row r="996" ht="15.75" customHeight="1">
      <c r="O996" s="29"/>
    </row>
    <row r="997" ht="15.75" customHeight="1">
      <c r="O997" s="29"/>
    </row>
    <row r="998" ht="15.75" customHeight="1">
      <c r="O998" s="29"/>
    </row>
    <row r="999" ht="15.75" customHeight="1">
      <c r="O999" s="29"/>
    </row>
    <row r="1000" ht="15.75" customHeight="1">
      <c r="O1000" s="29"/>
    </row>
    <row r="1001" ht="15.75" customHeight="1">
      <c r="O1001" s="29"/>
    </row>
  </sheetData>
  <hyperlinks>
    <hyperlink display="FIN.07.98.00" location="'Table 610'!A30" ref="F2"/>
    <hyperlink r:id="rId1" ref="L3"/>
    <hyperlink r:id="rId2" ref="L4"/>
    <hyperlink r:id="rId3" ref="L5"/>
    <hyperlink r:id="rId4" ref="L6"/>
    <hyperlink display="+ST1-XD0" location="'Table 606'!A47" ref="A7"/>
    <hyperlink display="WAGO.2002-1204" location="'Table 606'!A47" ref="F7"/>
    <hyperlink r:id="rId5" ref="L7"/>
    <hyperlink display="+ST1-XD0" location="null!J1" ref="A8"/>
    <hyperlink display="WAGO.2002-1207" location="'Table 606'!A47" ref="F8"/>
    <hyperlink r:id="rId6" ref="L8"/>
    <hyperlink r:id="rId7" ref="L9"/>
    <hyperlink r:id="rId8" ref="L10"/>
    <hyperlink r:id="rId9" ref="L11"/>
    <hyperlink r:id="rId10" ref="L12"/>
    <hyperlink r:id="rId11" ref="L13"/>
    <hyperlink r:id="rId12" ref="L14"/>
    <hyperlink r:id="rId13" ref="L15"/>
    <hyperlink r:id="rId14" ref="L16"/>
    <hyperlink r:id="rId15" ref="L17"/>
    <hyperlink r:id="rId16" ref="L18"/>
    <hyperlink r:id="rId17" ref="L19"/>
    <hyperlink r:id="rId18" ref="L20"/>
    <hyperlink r:id="rId19" ref="L21"/>
    <hyperlink r:id="rId20" ref="L22"/>
    <hyperlink r:id="rId21" ref="L23"/>
    <hyperlink r:id="rId22" ref="L24"/>
    <hyperlink r:id="rId23" ref="L25"/>
    <hyperlink r:id="rId24" ref="L26"/>
    <hyperlink r:id="rId25" ref="L27"/>
    <hyperlink r:id="rId26" ref="L28"/>
    <hyperlink r:id="rId27" ref="L29"/>
    <hyperlink display="+ST1-XD11" location="null!F1" ref="A30"/>
    <hyperlink display="WAGO.2002-2237" location="'Table 610'!A18" ref="F30"/>
    <hyperlink r:id="rId28" ref="L30"/>
    <hyperlink display="+ST1-XD30" location="null!A19" ref="A31"/>
    <hyperlink display="WAGO.2002-2237" location="'Table 610'!A28" ref="F31"/>
    <hyperlink r:id="rId29" ref="L31"/>
    <hyperlink r:id="rId30" ref="L32"/>
    <hyperlink r:id="rId31" ref="L33"/>
    <hyperlink r:id="rId32" ref="L34"/>
    <hyperlink r:id="rId33" ref="L35"/>
    <hyperlink r:id="rId34" ref="L36"/>
    <hyperlink r:id="rId35" ref="L37"/>
    <hyperlink r:id="rId36" ref="L38"/>
    <hyperlink r:id="rId37" ref="L39"/>
    <hyperlink r:id="rId38" ref="L40"/>
    <hyperlink r:id="rId39" ref="L41"/>
    <hyperlink r:id="rId40" ref="L42"/>
    <hyperlink r:id="rId41" ref="L43"/>
    <hyperlink r:id="rId42" ref="L44"/>
    <hyperlink r:id="rId43" ref="L45"/>
    <hyperlink r:id="rId44" ref="L46"/>
    <hyperlink r:id="rId45" ref="L47"/>
    <hyperlink r:id="rId46" ref="L48"/>
    <hyperlink r:id="rId47" ref="L49"/>
    <hyperlink r:id="rId48" ref="L50"/>
    <hyperlink display="WAGO.2004-1201" location="'Table 614'!A1" ref="F51"/>
    <hyperlink r:id="rId49" ref="L51"/>
    <hyperlink r:id="rId50" ref="L52"/>
    <hyperlink r:id="rId51" ref="L53"/>
    <hyperlink display="+ST1-107XTR24" location="'Table 614'!A8" ref="A54"/>
    <hyperlink display="WAGO.2006-1671/1000-848" location="'Table 614'!A8" ref="F54"/>
    <hyperlink r:id="rId52" ref="L54"/>
    <hyperlink display="+ST1-110XTR48" location="'Table 614'!A11" ref="A55"/>
    <hyperlink display="WAGO.2006-1671/1000-849" location="'Table 614'!A11" ref="F55"/>
    <hyperlink r:id="rId53" ref="L55"/>
    <hyperlink r:id="rId54" ref="L56"/>
    <hyperlink display="+ST1-XDS48" location="'Table 614'!A1" ref="A57"/>
    <hyperlink display="WAGO.2006-1681" location="'Table 614'!A1" ref="F57"/>
    <hyperlink r:id="rId55" ref="L57"/>
    <hyperlink r:id="rId56" ref="L58"/>
    <hyperlink r:id="rId57" ref="L59"/>
    <hyperlink display="+ST1-107XTR24" location="'Table 614'!A8" ref="A60"/>
    <hyperlink display="WAGO.2006-1692" location="'Table 614'!A8" ref="F60"/>
    <hyperlink r:id="rId58" ref="L60"/>
    <hyperlink display="+ST1-110XTR48" location="'Table 614'!A11" ref="A61"/>
    <hyperlink display="WAGO.2006-1692" location="'Table 614'!A11" ref="F61"/>
    <hyperlink r:id="rId59" ref="L61"/>
    <hyperlink r:id="rId60" ref="L62"/>
    <hyperlink r:id="rId61" ref="L63"/>
    <hyperlink display="WAGO.249-117" location="null!A14" ref="F64"/>
    <hyperlink r:id="rId62" ref="L64"/>
    <hyperlink r:id="rId63" ref="L65"/>
    <hyperlink r:id="rId64" ref="L66"/>
    <hyperlink r:id="rId65" ref="L67"/>
    <hyperlink r:id="rId66" ref="L68"/>
    <hyperlink r:id="rId67" ref="L69"/>
    <hyperlink r:id="rId68" ref="L70"/>
    <hyperlink r:id="rId69" ref="L71"/>
    <hyperlink r:id="rId70" ref="L72"/>
    <hyperlink r:id="rId71" ref="L73"/>
    <hyperlink r:id="rId72" ref="L74"/>
    <hyperlink r:id="rId73" ref="L75"/>
    <hyperlink r:id="rId74" ref="L76"/>
    <hyperlink r:id="rId75" ref="L77"/>
    <hyperlink r:id="rId76" ref="L78"/>
    <hyperlink display="+ST1-107XTR24" location="null!A1" ref="A79"/>
    <hyperlink display="WAGO.249-117" location="'Table 614'!A8" ref="F79"/>
    <hyperlink r:id="rId77" ref="L79"/>
    <hyperlink display="+ST1-110XTR48" location="null!A1" ref="A80"/>
    <hyperlink display="WAGO.249-117" location="'Table 614'!A11" ref="F80"/>
    <hyperlink r:id="rId78" ref="L80"/>
    <hyperlink r:id="rId79" ref="L81"/>
    <hyperlink r:id="rId80" ref="L82"/>
    <hyperlink r:id="rId81" ref="L83"/>
    <hyperlink r:id="rId82" ref="L84"/>
    <hyperlink r:id="rId83" ref="L85"/>
    <hyperlink r:id="rId84" ref="L86"/>
    <hyperlink r:id="rId85" ref="L87"/>
    <hyperlink r:id="rId86" ref="L88"/>
    <hyperlink r:id="rId87" ref="L89"/>
    <hyperlink r:id="rId88" ref="L90"/>
    <hyperlink r:id="rId89" ref="L91"/>
    <hyperlink r:id="rId90" ref="L92"/>
    <hyperlink r:id="rId91" ref="L93"/>
    <hyperlink r:id="rId92" ref="L94"/>
    <hyperlink r:id="rId93" ref="L95"/>
    <hyperlink r:id="rId94" ref="L96"/>
    <hyperlink r:id="rId95" ref="L97"/>
    <hyperlink r:id="rId96" ref="L98"/>
    <hyperlink r:id="rId97" ref="L99"/>
    <hyperlink r:id="rId98" ref="L100"/>
    <hyperlink r:id="rId99" ref="L101"/>
    <hyperlink display="+ST1-108FC24.1" location="null!A14" ref="A102"/>
    <hyperlink display="WAGO.281-311" location="null!A14" ref="F102"/>
    <hyperlink r:id="rId100" ref="L102"/>
    <hyperlink display="+ST1-108FC24.1" location="null!A14" ref="A103"/>
    <hyperlink display="WAGO.281-402" location="null!A14" ref="F103"/>
    <hyperlink r:id="rId101" ref="L103"/>
    <hyperlink display="+ST1-108FC24.1" location="null!A14" ref="A104"/>
    <hyperlink display="WAGO.281-611/281-541" location="null!A14" ref="F104"/>
    <hyperlink r:id="rId102" ref="L104"/>
    <hyperlink display="WAGO.281-611/281-541" location="null!A15" ref="F105"/>
    <hyperlink r:id="rId103" ref="L105"/>
    <hyperlink display="WAGO.281-611/281-541" location="null!A16" ref="F106"/>
    <hyperlink r:id="rId104" ref="L106"/>
    <hyperlink display="+ST1-120QA1A" location="'Table 606'!A17" ref="A107"/>
    <hyperlink display="SIE.3RH2911-1FA40" location="'Table 606'!A17" ref="F107"/>
    <hyperlink r:id="rId105" ref="L107"/>
    <hyperlink display="+ST1-120QA1B" location="'Table 606'!A20" ref="A108"/>
    <hyperlink display="SIE.3RH2911-1FA40" location="'Table 606'!A20" ref="F108"/>
    <hyperlink r:id="rId106" ref="L108"/>
    <hyperlink display="+ST1-120QA2A" location="'Table 606'!A23" ref="A109"/>
    <hyperlink display="SIE.3RH2911-1FA40" location="'Table 606'!A23" ref="F109"/>
    <hyperlink r:id="rId107" ref="L109"/>
    <hyperlink display="+ST1-120QA2B" location="'Table 606'!A26" ref="A110"/>
    <hyperlink display="SIE.3RH2911-1FA40" location="'Table 606'!A26" ref="F110"/>
    <hyperlink r:id="rId108" ref="L110"/>
    <hyperlink display="+ST1-311QA1" location="'Table 606'!A28" ref="A111"/>
    <hyperlink display="SIE.3RT2015-1BB41" location="'Table 606'!A28" ref="F111"/>
    <hyperlink r:id="rId109" ref="L111"/>
    <hyperlink display="+ST1-120QA2A" location="'Table 606'!A23" ref="A112"/>
    <hyperlink display="SIE.3RT2015-1BB42" location="'Table 606'!A23" ref="F112"/>
    <hyperlink r:id="rId110" ref="L112"/>
    <hyperlink display="+ST1-120QA2B" location="'Table 606'!A26" ref="A113"/>
    <hyperlink display="SIE.3RT2015-1BB42" location="'Table 606'!A26" ref="F113"/>
    <hyperlink r:id="rId111" ref="L113"/>
    <hyperlink display="+ST1-120QA1A" location="'Table 606'!A17" ref="A114"/>
    <hyperlink display="SIE.3RT2018-1BB42" location="'Table 606'!A17" ref="F114"/>
    <hyperlink r:id="rId112" ref="L114"/>
    <hyperlink display="+ST1-120QA1B" location="'Table 606'!A20" ref="A115"/>
    <hyperlink display="SIE.3RT2018-1BB42" location="'Table 606'!A20" ref="F115"/>
    <hyperlink r:id="rId113" ref="L115"/>
    <hyperlink display="SIE.3RT2916-1BB00" location="'Table 606'!A17" ref="F116"/>
    <hyperlink r:id="rId114" ref="L116"/>
    <hyperlink display="SIE.3RT2916-1BB00" location="'Table 606'!A20" ref="F117"/>
    <hyperlink r:id="rId115" ref="L117"/>
    <hyperlink display="SIE.3RT2916-1BB00" location="'Table 606'!A23" ref="F118"/>
    <hyperlink r:id="rId116" ref="L118"/>
    <hyperlink display="SIE.3RT2916-1BB00" location="'Table 606'!A26" ref="F119"/>
    <hyperlink r:id="rId117" ref="L119"/>
    <hyperlink display="SIE.3RT2916-1BB00" location="'Table 606'!A28" ref="F120"/>
    <hyperlink r:id="rId118" ref="L120"/>
    <hyperlink display="+ST1-311Q1" location="'Table 606'!A14" ref="A121"/>
    <hyperlink display="SIE.3RV2011-1DA10" location="'Table 606'!A14" ref="F121"/>
    <hyperlink r:id="rId119" ref="L121"/>
    <hyperlink display="SIE.3RV2011-1JA10" location="'Table 606'!A12" ref="F122"/>
    <hyperlink r:id="rId120" ref="L122"/>
    <hyperlink display="SIE.3RV2901-1E" location="'Table 606'!A14" ref="F123"/>
    <hyperlink r:id="rId121" ref="L123"/>
    <hyperlink display="FIN.48.52.7.024.0050" location="'Table 606'!A5" ref="F124"/>
    <hyperlink r:id="rId122" ref="L124"/>
    <hyperlink display="FIN.48.52.7.024.0050" location="'Table 606'!A6" ref="F125"/>
    <hyperlink r:id="rId123" ref="L125"/>
    <hyperlink display="FIN.49.62.9.024.0050" location="null!A31" ref="F126"/>
    <hyperlink r:id="rId124" ref="L126"/>
    <hyperlink display="BuR.5APC2100.BY01-000" location="null!A1" ref="F127"/>
    <hyperlink display="SIE.5ST3010" location="null!A18" ref="F128"/>
    <hyperlink display="SIE.5ST3010" location="null!A20" ref="F129"/>
    <hyperlink display="SIE.5SY4104-7" location="null!A10" ref="F130"/>
    <hyperlink display="SIE.5SY4106-7" location="null!A7" ref="F131"/>
    <hyperlink display="SIE.5SY4106-7" location="null!A8" ref="F132"/>
    <hyperlink r:id="rId125" ref="L132"/>
    <hyperlink display="SIE.5SY4110-6" location="null!A9" ref="F133"/>
    <hyperlink r:id="rId126" ref="L133"/>
    <hyperlink display="+ST1-310FC1" location="null!A18" ref="A134"/>
    <hyperlink display="SIE.5SY4116-6" location="null!A18" ref="F134"/>
    <hyperlink r:id="rId127" ref="L134"/>
    <hyperlink display="+ST1-315FC1" location="null!A20" ref="A135"/>
    <hyperlink display="SIE.5SY4116-6" location="null!A20" ref="F135"/>
    <hyperlink r:id="rId128" ref="L135"/>
    <hyperlink display="WER.649.000.02" location="'Table 606'!A10" ref="F136"/>
    <hyperlink r:id="rId129" ref="L136"/>
    <hyperlink display="FIN.77.45.9.024.8250" location="'Table 606'!A29" ref="F137"/>
    <hyperlink r:id="rId130" ref="L137"/>
    <hyperlink display="+ANL-302MA2" location="'Table 614'!A28" ref="A138"/>
    <hyperlink display="BuR.80MPD3.300S000-01" location="'Table 614'!A28" ref="F138"/>
    <hyperlink display="+ANL-304MA2" location="'Table 614'!A32" ref="A139"/>
    <hyperlink display="BuR.80MPD3.300S000-01" location="'Table 614'!A32" ref="F139"/>
    <hyperlink r:id="rId131" ref="L139"/>
    <hyperlink display="BuR.80MPF5.500D114-01" location="'Table 614'!A25" ref="F140"/>
    <hyperlink r:id="rId132" ref="L140"/>
    <hyperlink display="BuR.80MPF5.500D114-01" location="'Table 614'!A29" ref="F141"/>
    <hyperlink r:id="rId133" ref="L141"/>
    <hyperlink display="BuR.80SD100XD.C044-01" location="null!A1" ref="F142"/>
    <hyperlink r:id="rId134" ref="L142"/>
    <hyperlink r:id="rId135" ref="L143"/>
    <hyperlink display="BAL.BES01H6" location="'Table 614'!A37" ref="F144"/>
    <hyperlink r:id="rId136" ref="L144"/>
    <hyperlink display="BAL.BES01H6" location="'Table 614'!A38" ref="F145"/>
    <hyperlink r:id="rId137" ref="L145"/>
    <hyperlink display="PULS.CP20.481" location="'Table 606'!A38" ref="F146"/>
    <hyperlink display="SMC.D-M9NL" location="'Table 614'!A39" ref="F147"/>
    <hyperlink r:id="rId138" ref="L147"/>
    <hyperlink display="SMC.D-M9NL" location="'Table 614'!A40" ref="F148"/>
    <hyperlink r:id="rId139" ref="L148"/>
    <hyperlink display="SMC.D-M9NL" location="'Table 614'!A41" ref="F149"/>
    <hyperlink r:id="rId140" ref="L149"/>
    <hyperlink display="SMC.D-M9NL" location="'Table 614'!A42" ref="F150"/>
    <hyperlink r:id="rId141" ref="L150"/>
    <hyperlink display="+ST1-106SF1" location="'Table 606'!A34" ref="A153"/>
    <hyperlink display="ETN.216374" location="'Table 606'!A34" ref="F153"/>
    <hyperlink r:id="rId142" ref="L153"/>
    <hyperlink display="+ST1-131FN01" location="null!A26" ref="A154"/>
    <hyperlink display="ETN.M22-K01" location="null!A26" ref="F154"/>
    <hyperlink display="+ST1-106SF1" location="'Table 606'!A34" ref="A155"/>
    <hyperlink display="ETN.M22-K10" location="'Table 606'!A34" ref="F155"/>
    <hyperlink display="+ST1-131FN01" location="null!A26" ref="A156"/>
    <hyperlink display="ETN.M22-PV/K01" location="null!A26" ref="F156"/>
    <hyperlink r:id="rId143" ref="L156"/>
    <hyperlink display="+ST1-131FN1" location="null!A22" ref="A157"/>
    <hyperlink display="ETN.M22-PV/KC02/IY" location="null!A22" ref="F157"/>
    <hyperlink r:id="rId144" ref="L157"/>
    <hyperlink display="+ST1-131FN2" location="null!A28" ref="A158"/>
    <hyperlink display="ETN.M22-PV/KC02/IY" location="null!A28" ref="F158"/>
    <hyperlink r:id="rId145" ref="L158"/>
    <hyperlink display="+ST1-106SF1" location="'Table 606'!A34" ref="A159"/>
    <hyperlink display="ETN.M22-WRLK-W" location="'Table 606'!A34" ref="F159"/>
    <hyperlink r:id="rId146" ref="L159"/>
    <hyperlink display="ETN.121372" location="null!A26" ref="F160"/>
    <hyperlink r:id="rId147" ref="L160"/>
    <hyperlink display="ETN.M22S-ST-X" location="'Table 606'!A34" ref="F161"/>
    <hyperlink r:id="rId148" ref="L161"/>
    <hyperlink display="ETN.P1-25/EA/SVB-SW" location="'Table 606'!A30" ref="F162"/>
    <hyperlink r:id="rId149" ref="L162"/>
    <hyperlink display="PXC.2900364" location="'Table 606'!A8" ref="F163"/>
    <hyperlink r:id="rId150" ref="L163"/>
    <hyperlink display="PXC.2900375" location="'Table 606'!A7" ref="F164"/>
    <hyperlink display="PILZ.541061" location="null!A30" ref="F165"/>
    <hyperlink r:id="rId151" ref="L165"/>
    <hyperlink display="PILZ.570000" location="null!A29" ref="F166"/>
    <hyperlink r:id="rId152" ref="L166"/>
    <hyperlink display="PULS.QS10.241" location="'Table 606'!A37" ref="F167"/>
    <hyperlink r:id="rId153" ref="L168"/>
    <hyperlink r:id="rId154" ref="L169"/>
    <hyperlink r:id="rId155" ref="L170"/>
    <hyperlink r:id="rId156" ref="L171"/>
    <hyperlink r:id="rId157" ref="L172"/>
    <hyperlink display="+ST1-112KF14" location="null!A50" ref="A173"/>
    <hyperlink display="BuR.X20AI4622" location="null!A50" ref="F173"/>
    <hyperlink r:id="rId158" ref="L173"/>
    <hyperlink display="+ST1-112KF12" location="null!A44" ref="A174"/>
    <hyperlink display="BuR.X20AO4622" location="null!A44" ref="F174"/>
    <hyperlink r:id="rId159" ref="L174"/>
    <hyperlink display="+ST1-112KF13" location="null!A47" ref="A175"/>
    <hyperlink display="BuR.X20AO4622" location="null!A47" ref="F175"/>
    <hyperlink r:id="rId160" ref="L175"/>
    <hyperlink display="BuR.X20AO4622" location="null!A51" ref="F176"/>
    <hyperlink r:id="rId161" ref="L176"/>
    <hyperlink display="+ST1-112KF11" location="null!A41" ref="A177"/>
    <hyperlink display="BuR.X20AT6402" location="null!A41" ref="F177"/>
    <hyperlink r:id="rId162" ref="L177"/>
    <hyperlink display="BuR.X20BB80" location="null!A33" ref="F178"/>
    <hyperlink r:id="rId163" ref="L178"/>
    <hyperlink display="+ST1-112KF01" location="null!A33" ref="A179"/>
    <hyperlink display="BuR.X20BC0083" location="null!A33" ref="F179"/>
    <hyperlink r:id="rId164" ref="L179"/>
    <hyperlink display="+ST1-112KF03" location="null!A38" ref="A180"/>
    <hyperlink display="BuR.X20BM11" location="null!A38" ref="F180"/>
    <hyperlink r:id="rId165" ref="L180"/>
    <hyperlink display="+ST1-112KF11" location="null!A41" ref="A181"/>
    <hyperlink display="BuR.X20BM11" location="null!A41" ref="F181"/>
    <hyperlink r:id="rId166" ref="L181"/>
    <hyperlink display="+ST1-112KF12" location="null!A44" ref="A182"/>
    <hyperlink display="BuR.X20BM11" location="null!A44" ref="F182"/>
    <hyperlink r:id="rId167" ref="L182"/>
    <hyperlink display="+ST1-112KF13" location="null!A47" ref="A183"/>
    <hyperlink display="BuR.X20BM11" location="null!A47" ref="F183"/>
    <hyperlink r:id="rId168" ref="L183"/>
    <hyperlink display="+ST1-112KF14" location="null!A50" ref="A184"/>
    <hyperlink display="BuR.X20BM11" location="null!A50" ref="F184"/>
    <hyperlink r:id="rId169" ref="L184"/>
    <hyperlink display="+ST1-112KF15" location="null!A1" ref="A185"/>
    <hyperlink display="BuR.X20BM11" location="null!A1" ref="F185"/>
    <hyperlink r:id="rId170" ref="L185"/>
    <hyperlink display="+ST1-113KF16" location="'Table 602'!A1" ref="A186"/>
    <hyperlink display="BuR.X20BM11" location="'Table 602'!A1" ref="F186"/>
    <hyperlink r:id="rId171" ref="L186"/>
    <hyperlink display="+ST1-113KF17" location="'Table 602'!A3" ref="A187"/>
    <hyperlink display="BuR.X20BM11" location="'Table 602'!A3" ref="F187"/>
    <hyperlink r:id="rId172" ref="L187"/>
    <hyperlink display="+ST1-113KF18" location="'Table 602'!A6" ref="A188"/>
    <hyperlink display="BuR.X20BM11" location="'Table 602'!A6" ref="F188"/>
    <hyperlink r:id="rId173" ref="L188"/>
    <hyperlink display="+ST1-113KF19" location="'Table 602'!A9" ref="A189"/>
    <hyperlink display="BuR.X20BM11" location="'Table 602'!A9" ref="F189"/>
    <hyperlink r:id="rId174" ref="L189"/>
    <hyperlink display="+ST1-113KF20" location="'Table 602'!A12" ref="A190"/>
    <hyperlink display="BuR.X20BM11" location="'Table 602'!A12" ref="F190"/>
    <hyperlink r:id="rId175" ref="L190"/>
    <hyperlink display="+ST1-113KF21" location="'Table 602'!A15" ref="A191"/>
    <hyperlink display="BuR.X20BM11" location="'Table 602'!A15" ref="F191"/>
    <hyperlink r:id="rId176" ref="L191"/>
    <hyperlink display="+ST1-113KF22" location="'Table 602'!A18" ref="A192"/>
    <hyperlink display="BuR.X20BM11" location="'Table 602'!A18" ref="F192"/>
    <hyperlink r:id="rId177" ref="L192"/>
    <hyperlink display="+ST1-113KF23" location="'Table 602'!A21" ref="A193"/>
    <hyperlink display="BuR.X20BM11" location="'Table 602'!A21" ref="F193"/>
    <hyperlink r:id="rId178" ref="L193"/>
    <hyperlink display="+ST1-114KF24" location="'Table 602'!A24" ref="A194"/>
    <hyperlink display="BuR.X20BM11" location="'Table 602'!A24" ref="F194"/>
    <hyperlink r:id="rId179" ref="L194"/>
    <hyperlink display="+ST1-114KF25" location="'Table 602'!A27" ref="A195"/>
    <hyperlink display="BuR.X20BM11" location="'Table 602'!A27" ref="F195"/>
    <hyperlink r:id="rId180" ref="L195"/>
    <hyperlink display="+ST1-114KF26" location="'Table 602'!A30" ref="A196"/>
    <hyperlink display="BuR.X20BM11" location="'Table 602'!A30" ref="F196"/>
    <hyperlink r:id="rId181" ref="L196"/>
    <hyperlink display="+ST1-114KF27" location="'Table 602'!A33" ref="A197"/>
    <hyperlink display="BuR.X20BM11" location="'Table 602'!A33" ref="F197"/>
    <hyperlink r:id="rId182" ref="L197"/>
    <hyperlink display="+ST1-114KF28" location="'Table 602'!A36" ref="A198"/>
    <hyperlink display="BuR.X20BM11" location="'Table 602'!A36" ref="F198"/>
    <hyperlink r:id="rId183" ref="L198"/>
    <hyperlink display="+ST1-114KF29" location="'Table 602'!A39" ref="A199"/>
    <hyperlink display="BuR.X20BM11" location="'Table 602'!A39" ref="F199"/>
    <hyperlink r:id="rId184" ref="L199"/>
    <hyperlink display="+ST1-114KF30" location="'Table 602'!A42" ref="A200"/>
    <hyperlink display="BuR.X20BM11" location="'Table 602'!A42" ref="F200"/>
    <hyperlink r:id="rId185" ref="L200"/>
    <hyperlink display="+ST1-114KF31" location="'Table 602'!A45" ref="A201"/>
    <hyperlink display="BuR.X20BM11" location="'Table 602'!A45" ref="F201"/>
    <hyperlink r:id="rId186" ref="L201"/>
    <hyperlink display="+ST1-116KF61" location="'Table 606'!A4" ref="A202"/>
    <hyperlink display="BuR.X20BM11" location="'Table 606'!A4" ref="F202"/>
    <hyperlink r:id="rId187" ref="L202"/>
    <hyperlink display="+ST1-115KF51" location="'Table 602'!A48" ref="A203"/>
    <hyperlink display="BuR.X20BM13" location="'Table 602'!A48" ref="F203"/>
    <hyperlink r:id="rId188" ref="L203"/>
    <hyperlink display="+ST1-115KF52" location="'Table 602'!A51" ref="A204"/>
    <hyperlink display="BuR.X20BM36" location="'Table 602'!A51" ref="F204"/>
    <hyperlink r:id="rId189" ref="L204"/>
    <hyperlink display="+ST1-115KF53a" location="'Table 606'!A1" ref="A205"/>
    <hyperlink display="BuR.X20BM36" location="'Table 606'!A1" ref="F205"/>
    <hyperlink r:id="rId190" ref="L205"/>
    <hyperlink display="+ST1-115KF53b" location="'Table 606'!A2" ref="A206"/>
    <hyperlink display="BuR.X20BM36" location="'Table 606'!A2" ref="F206"/>
    <hyperlink r:id="rId191" ref="L206"/>
    <hyperlink display="+ST1-112KF03" location="null!A38" ref="A207"/>
    <hyperlink display="BuR.X20BT9100" location="null!A38" ref="F207"/>
    <hyperlink r:id="rId192" ref="L207"/>
    <hyperlink display="+ST1-116KF61" location="'Table 606'!A4" ref="A208"/>
    <hyperlink display="BuR.X20DC1976" location="'Table 606'!A4" ref="F208"/>
    <hyperlink r:id="rId193" ref="L208"/>
    <hyperlink display="+ST1-113KF16" location="'Table 602'!A1" ref="A209"/>
    <hyperlink display="BuR.X20DI6371" location="'Table 602'!A1" ref="F209"/>
    <hyperlink r:id="rId194" ref="L209"/>
    <hyperlink display="+ST1-113KF17" location="'Table 602'!A3" ref="A210"/>
    <hyperlink display="BuR.X20DI6371" location="'Table 602'!A3" ref="F210"/>
    <hyperlink r:id="rId195" ref="L210"/>
    <hyperlink display="+ST1-113KF18" location="'Table 602'!A6" ref="A211"/>
    <hyperlink display="BuR.X20DI6371" location="'Table 602'!A6" ref="F211"/>
    <hyperlink r:id="rId196" ref="L211"/>
    <hyperlink display="+ST1-113KF19" location="'Table 602'!A9" ref="A212"/>
    <hyperlink display="BuR.X20DI6371" location="'Table 602'!A9" ref="F212"/>
    <hyperlink r:id="rId197" ref="L212"/>
    <hyperlink display="+ST1-113KF20" location="'Table 602'!A12" ref="A213"/>
    <hyperlink display="BuR.X20DI6371" location="'Table 602'!A12" ref="F213"/>
    <hyperlink r:id="rId198" ref="L213"/>
    <hyperlink display="+ST1-113KF21" location="'Table 602'!A15" ref="A214"/>
    <hyperlink display="BuR.X20DI6371" location="'Table 602'!A15" ref="F214"/>
    <hyperlink r:id="rId199" ref="L214"/>
    <hyperlink display="+ST1-113KF22" location="'Table 602'!A18" ref="A215"/>
    <hyperlink display="BuR.X20DI6371" location="'Table 602'!A18" ref="F215"/>
    <hyperlink r:id="rId200" ref="L215"/>
    <hyperlink display="+ST1-113KF23" location="'Table 602'!A21" ref="A216"/>
    <hyperlink display="BuR.X20DI6371" location="'Table 602'!A21" ref="F216"/>
    <hyperlink r:id="rId201" ref="L216"/>
    <hyperlink display="+ST1-114KF24" location="'Table 602'!A24" ref="A217"/>
    <hyperlink display="BuR.X20DO6322" location="'Table 602'!A24" ref="F217"/>
    <hyperlink r:id="rId202" ref="L217"/>
    <hyperlink display="+ST1-114KF25" location="'Table 602'!A27" ref="A218"/>
    <hyperlink display="BuR.X20DO6322" location="'Table 602'!A27" ref="F218"/>
    <hyperlink r:id="rId203" ref="L218"/>
    <hyperlink display="+ST1-114KF26" location="'Table 602'!A30" ref="A219"/>
    <hyperlink display="BuR.X20DO6322" location="'Table 602'!A30" ref="F219"/>
    <hyperlink r:id="rId204" ref="L219"/>
    <hyperlink display="+ST1-114KF27" location="'Table 602'!A33" ref="A220"/>
    <hyperlink display="BuR.X20DO6322" location="'Table 602'!A33" ref="F220"/>
    <hyperlink r:id="rId205" ref="L220"/>
    <hyperlink display="+ST1-114KF28" location="'Table 602'!A36" ref="A221"/>
    <hyperlink display="BuR.X20DO6322" location="'Table 602'!A36" ref="F221"/>
    <hyperlink r:id="rId206" ref="L221"/>
    <hyperlink display="+ST1-114KF29" location="'Table 602'!A39" ref="A222"/>
    <hyperlink display="BuR.X20DO6322" location="'Table 602'!A39" ref="F222"/>
    <hyperlink r:id="rId207" ref="L222"/>
    <hyperlink display="+ST1-114KF30" location="'Table 602'!A42" ref="A223"/>
    <hyperlink display="BuR.X20DO6322" location="'Table 602'!A42" ref="F223"/>
    <hyperlink r:id="rId208" ref="L223"/>
    <hyperlink display="+ST1-114KF31" location="'Table 602'!A45" ref="A224"/>
    <hyperlink display="BuR.X20DO6322" location="'Table 602'!A45" ref="F224"/>
    <hyperlink r:id="rId209" ref="L224"/>
    <hyperlink display="BuR.X20MK0211" location="null!A3" ref="F225"/>
    <hyperlink r:id="rId210" ref="L225"/>
    <hyperlink display="+ST1-112KF02" location="null!A35" ref="A226"/>
    <hyperlink display="BuR.X20PS9400" location="null!A35" ref="F226"/>
    <hyperlink r:id="rId211" ref="L226"/>
    <hyperlink display="+ST1-115KF53a" location="'Table 606'!A1" ref="A227"/>
    <hyperlink display="BuR.X20SC0842" location="'Table 606'!A1" ref="F227"/>
    <hyperlink r:id="rId212" ref="L227"/>
    <hyperlink display="+ST1-115KF53b" location="'Table 606'!A2" ref="A228"/>
    <hyperlink display="BuR.X20SC0842" location="'Table 606'!A2" ref="F228"/>
    <hyperlink r:id="rId213" ref="L228"/>
    <hyperlink display="+ST1-115KF51" location="'Table 602'!A48" ref="A229"/>
    <hyperlink display="BuR.X20SI8110" location="'Table 602'!A48" ref="F229"/>
    <hyperlink r:id="rId214" ref="L229"/>
    <hyperlink display="+ST1-111AF02" location="null!A3" ref="A230"/>
    <hyperlink display="BuR.X20SL8101" location="null!A3" ref="F230"/>
    <hyperlink r:id="rId215" ref="L230"/>
    <hyperlink display="+ST1-115KF52" location="'Table 602'!A51" ref="A231"/>
    <hyperlink display="BuR.X20SO6300" location="'Table 602'!A51" ref="F231"/>
    <hyperlink r:id="rId216" ref="L231"/>
    <hyperlink display="BuR.X20TB12" location="null!A35" ref="F232"/>
    <hyperlink r:id="rId217" ref="L232"/>
    <hyperlink display="BuR.X20TB12" location="null!A38" ref="F233"/>
    <hyperlink r:id="rId218" ref="L233"/>
    <hyperlink display="BuR.X20TB12" location="null!A41" ref="F234"/>
    <hyperlink r:id="rId219" ref="L234"/>
    <hyperlink display="BuR.X20TB12" location="null!A44" ref="F235"/>
    <hyperlink r:id="rId220" ref="L235"/>
    <hyperlink display="BuR.X20TB12" location="null!A47" ref="F236"/>
    <hyperlink r:id="rId221" ref="L236"/>
    <hyperlink display="BuR.X20TB12" location="null!A50" ref="F237"/>
    <hyperlink r:id="rId222" ref="L237"/>
    <hyperlink display="+ST1-112KF15" location="null!A51" ref="A238"/>
    <hyperlink display="BuR.X20TB12" location="null!A1" ref="F238"/>
    <hyperlink r:id="rId223" ref="L238"/>
    <hyperlink display="BuR.X20TB12" location="'Table 602'!A1" ref="F239"/>
    <hyperlink r:id="rId224" ref="L239"/>
    <hyperlink display="BuR.X20TB12" location="'Table 602'!A3" ref="F240"/>
    <hyperlink r:id="rId225" ref="L240"/>
    <hyperlink display="BuR.X20TB12" location="'Table 602'!A6" ref="F241"/>
    <hyperlink r:id="rId226" ref="L241"/>
    <hyperlink display="BuR.X20TB12" location="'Table 602'!A9" ref="F242"/>
    <hyperlink r:id="rId227" ref="L242"/>
    <hyperlink display="BuR.X20TB12" location="'Table 602'!A12" ref="F243"/>
    <hyperlink r:id="rId228" ref="L243"/>
    <hyperlink display="BuR.X20TB12" location="'Table 602'!A15" ref="F244"/>
    <hyperlink r:id="rId229" ref="L244"/>
    <hyperlink display="BuR.X20TB12" location="'Table 602'!A18" ref="F245"/>
    <hyperlink r:id="rId230" ref="L245"/>
    <hyperlink display="BuR.X20TB12" location="'Table 602'!A21" ref="F246"/>
    <hyperlink r:id="rId231" ref="L246"/>
    <hyperlink display="BuR.X20TB12" location="'Table 602'!A24" ref="F247"/>
    <hyperlink r:id="rId232" ref="L247"/>
    <hyperlink display="BuR.X20TB12" location="'Table 602'!A27" ref="F248"/>
    <hyperlink r:id="rId233" ref="L248"/>
    <hyperlink display="BuR.X20TB12" location="'Table 602'!A30" ref="F249"/>
    <hyperlink r:id="rId234" ref="L249"/>
    <hyperlink display="BuR.X20TB12" location="'Table 602'!A33" ref="F250"/>
    <hyperlink r:id="rId235" ref="L250"/>
    <hyperlink display="BuR.X20TB12" location="'Table 602'!A36" ref="F251"/>
    <hyperlink r:id="rId236" ref="L251"/>
    <hyperlink display="BuR.X20TB12" location="'Table 602'!A39" ref="F252"/>
    <hyperlink r:id="rId237" ref="L252"/>
    <hyperlink display="BuR.X20TB12" location="'Table 602'!A42" ref="F253"/>
    <hyperlink r:id="rId238" ref="L253"/>
    <hyperlink display="BuR.X20TB12" location="'Table 602'!A45" ref="F254"/>
    <hyperlink r:id="rId239" ref="L254"/>
    <hyperlink display="BuR.X20TB12" location="'Table 606'!A4" ref="F255"/>
    <hyperlink r:id="rId240" ref="L255"/>
    <hyperlink display="+ST1-111AF02" location="null!A3" ref="A256"/>
    <hyperlink display="BuR.X20TB52" location="null!A3" ref="F256"/>
    <hyperlink r:id="rId241" ref="L256"/>
    <hyperlink display="BuR.X20TB52" location="'Table 602'!A48" ref="F257"/>
    <hyperlink r:id="rId242" ref="L257"/>
    <hyperlink display="BuR.X20TB52" location="'Table 602'!A51" ref="F258"/>
    <hyperlink r:id="rId243" ref="L258"/>
    <hyperlink display="BuR.X20TB52" location="'Table 606'!A1" ref="F259"/>
    <hyperlink r:id="rId244" ref="L259"/>
    <hyperlink display="BuR.X20TB52" location="'Table 606'!A2" ref="F260"/>
    <hyperlink r:id="rId245" ref="L260"/>
    <hyperlink display="+ST1-131FN01" location="null!A26" ref="A264"/>
    <hyperlink display="K+C Glasmaßstab Typ-S5" location="'Table 614'!A36" ref="F283"/>
    <hyperlink r:id="rId246" ref="L283"/>
    <hyperlink r:id="rId247" ref="L311"/>
    <hyperlink r:id="rId248" ref="L312"/>
    <hyperlink r:id="rId249" ref="L313"/>
    <hyperlink r:id="rId250" ref="L315"/>
    <hyperlink r:id="rId251" ref="L316"/>
  </hyperlinks>
  <printOptions/>
  <pageMargins bottom="0.7875" footer="0.0" header="0.0" left="0.7875" right="0.7875" top="0.7875"/>
  <pageSetup paperSize="9" orientation="portrait"/>
  <drawing r:id="rId252"/>
  <tableParts count="2">
    <tablePart r:id="rId255"/>
    <tablePart r:id="rId25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29"/>
    <col customWidth="1" min="3" max="3" width="22.29"/>
    <col customWidth="1" min="8" max="8" width="67.29"/>
    <col customWidth="1" min="9" max="9" width="31.14"/>
  </cols>
  <sheetData>
    <row r="1">
      <c r="A1" s="34" t="s">
        <v>613</v>
      </c>
      <c r="B1" s="34" t="s">
        <v>614</v>
      </c>
      <c r="C1" s="34" t="s">
        <v>615</v>
      </c>
      <c r="D1" s="35" t="s">
        <v>616</v>
      </c>
      <c r="E1" s="34" t="s">
        <v>428</v>
      </c>
      <c r="F1" s="34" t="s">
        <v>617</v>
      </c>
      <c r="G1" s="35" t="s">
        <v>435</v>
      </c>
      <c r="H1" s="35" t="s">
        <v>618</v>
      </c>
      <c r="I1" s="34" t="s">
        <v>619</v>
      </c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4">
        <v>11.0</v>
      </c>
      <c r="B2" s="34">
        <v>1.0</v>
      </c>
      <c r="C2" s="30" t="s">
        <v>620</v>
      </c>
      <c r="D2" s="11" t="s">
        <v>621</v>
      </c>
      <c r="E2" s="37" t="s">
        <v>622</v>
      </c>
      <c r="F2" s="36"/>
      <c r="G2" s="18"/>
      <c r="H2" s="11" t="s">
        <v>623</v>
      </c>
      <c r="I2" s="34" t="s">
        <v>441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34">
        <v>12.0</v>
      </c>
      <c r="B3" s="34">
        <v>1.0</v>
      </c>
      <c r="C3" s="30" t="s">
        <v>624</v>
      </c>
      <c r="D3" s="11" t="s">
        <v>625</v>
      </c>
      <c r="E3" s="34" t="s">
        <v>626</v>
      </c>
      <c r="F3" s="34">
        <v>25.14</v>
      </c>
      <c r="G3" s="38" t="s">
        <v>627</v>
      </c>
      <c r="H3" s="11" t="s">
        <v>628</v>
      </c>
      <c r="I3" s="34" t="s">
        <v>546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34">
        <v>13.0</v>
      </c>
      <c r="B4" s="34">
        <v>2.0</v>
      </c>
      <c r="C4" s="30" t="s">
        <v>629</v>
      </c>
      <c r="D4" s="11" t="s">
        <v>630</v>
      </c>
      <c r="E4" s="34" t="s">
        <v>626</v>
      </c>
      <c r="F4" s="34"/>
      <c r="G4" s="11"/>
      <c r="H4" s="18"/>
      <c r="I4" s="34" t="s">
        <v>546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34">
        <v>14.0</v>
      </c>
      <c r="B5" s="34">
        <v>2.0</v>
      </c>
      <c r="C5" s="30" t="s">
        <v>631</v>
      </c>
      <c r="D5" s="11" t="s">
        <v>632</v>
      </c>
      <c r="E5" s="34" t="s">
        <v>626</v>
      </c>
      <c r="F5" s="34"/>
      <c r="G5" s="11"/>
      <c r="H5" s="18"/>
      <c r="I5" s="34" t="s">
        <v>546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34">
        <v>15.0</v>
      </c>
      <c r="B6" s="34">
        <v>1.0</v>
      </c>
      <c r="C6" s="30" t="s">
        <v>633</v>
      </c>
      <c r="D6" s="11" t="s">
        <v>634</v>
      </c>
      <c r="E6" s="34" t="s">
        <v>626</v>
      </c>
      <c r="F6" s="34"/>
      <c r="G6" s="11"/>
      <c r="H6" s="18"/>
      <c r="I6" s="34" t="s">
        <v>546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34">
        <v>161.0</v>
      </c>
      <c r="B7" s="36"/>
      <c r="C7" s="12"/>
      <c r="D7" s="18"/>
      <c r="E7" s="36"/>
      <c r="F7" s="36"/>
      <c r="G7" s="18"/>
      <c r="H7" s="18"/>
      <c r="I7" s="3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34">
        <v>162.0</v>
      </c>
      <c r="B8" s="36"/>
      <c r="C8" s="12"/>
      <c r="D8" s="18"/>
      <c r="E8" s="36"/>
      <c r="F8" s="36"/>
      <c r="G8" s="18"/>
      <c r="H8" s="18"/>
      <c r="I8" s="36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34">
        <v>171.0</v>
      </c>
      <c r="B9" s="36"/>
      <c r="C9" s="12"/>
      <c r="D9" s="18"/>
      <c r="E9" s="36"/>
      <c r="F9" s="36"/>
      <c r="G9" s="18"/>
      <c r="H9" s="18"/>
      <c r="I9" s="36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34">
        <v>172.0</v>
      </c>
      <c r="B10" s="36"/>
      <c r="C10" s="12"/>
      <c r="D10" s="18"/>
      <c r="E10" s="36"/>
      <c r="F10" s="36"/>
      <c r="G10" s="18"/>
      <c r="H10" s="18"/>
      <c r="I10" s="36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34">
        <v>173.0</v>
      </c>
      <c r="B11" s="36"/>
      <c r="C11" s="12"/>
      <c r="D11" s="18"/>
      <c r="E11" s="36"/>
      <c r="F11" s="36"/>
      <c r="G11" s="18"/>
      <c r="H11" s="18"/>
      <c r="I11" s="36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34">
        <v>174.0</v>
      </c>
      <c r="B12" s="36"/>
      <c r="C12" s="12"/>
      <c r="D12" s="18"/>
      <c r="E12" s="36"/>
      <c r="F12" s="36"/>
      <c r="G12" s="18"/>
      <c r="H12" s="18"/>
      <c r="I12" s="36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4">
        <v>1751.0</v>
      </c>
      <c r="B13" s="36"/>
      <c r="C13" s="12"/>
      <c r="D13" s="18"/>
      <c r="E13" s="36"/>
      <c r="F13" s="36"/>
      <c r="G13" s="18"/>
      <c r="H13" s="18"/>
      <c r="I13" s="36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34">
        <v>1752.0</v>
      </c>
      <c r="B14" s="36"/>
      <c r="C14" s="12"/>
      <c r="D14" s="18"/>
      <c r="E14" s="36"/>
      <c r="F14" s="36"/>
      <c r="G14" s="18"/>
      <c r="H14" s="18"/>
      <c r="I14" s="36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4">
        <v>1753.0</v>
      </c>
      <c r="B15" s="36"/>
      <c r="C15" s="12"/>
      <c r="D15" s="18"/>
      <c r="E15" s="36"/>
      <c r="F15" s="36"/>
      <c r="G15" s="18"/>
      <c r="H15" s="18"/>
      <c r="I15" s="36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34">
        <v>176.0</v>
      </c>
      <c r="B16" s="36"/>
      <c r="C16" s="12"/>
      <c r="D16" s="18"/>
      <c r="E16" s="36"/>
      <c r="F16" s="36"/>
      <c r="G16" s="18"/>
      <c r="H16" s="18"/>
      <c r="I16" s="36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4">
        <v>1772.0</v>
      </c>
      <c r="B17" s="36"/>
      <c r="C17" s="12"/>
      <c r="D17" s="18"/>
      <c r="E17" s="36"/>
      <c r="F17" s="36"/>
      <c r="G17" s="18"/>
      <c r="H17" s="18"/>
      <c r="I17" s="36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34">
        <v>1773.0</v>
      </c>
      <c r="B18" s="36"/>
      <c r="C18" s="12"/>
      <c r="D18" s="18"/>
      <c r="E18" s="36"/>
      <c r="F18" s="36"/>
      <c r="G18" s="18"/>
      <c r="H18" s="18"/>
      <c r="I18" s="36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4">
        <v>1781.0</v>
      </c>
      <c r="B19" s="36"/>
      <c r="C19" s="12"/>
      <c r="D19" s="18"/>
      <c r="E19" s="36"/>
      <c r="F19" s="36"/>
      <c r="G19" s="18"/>
      <c r="H19" s="18"/>
      <c r="I19" s="36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34">
        <v>179.0</v>
      </c>
      <c r="B20" s="36"/>
      <c r="C20" s="12"/>
      <c r="D20" s="18"/>
      <c r="E20" s="36"/>
      <c r="F20" s="36"/>
      <c r="G20" s="18"/>
      <c r="H20" s="18"/>
      <c r="I20" s="36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4" t="s">
        <v>635</v>
      </c>
      <c r="B21" s="36"/>
      <c r="C21" s="12"/>
      <c r="D21" s="18"/>
      <c r="E21" s="36"/>
      <c r="F21" s="36"/>
      <c r="G21" s="18"/>
      <c r="H21" s="18"/>
      <c r="I21" s="36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34" t="s">
        <v>636</v>
      </c>
      <c r="B22" s="36"/>
      <c r="C22" s="12"/>
      <c r="D22" s="18"/>
      <c r="E22" s="36"/>
      <c r="F22" s="36"/>
      <c r="G22" s="18"/>
      <c r="H22" s="18"/>
      <c r="I22" s="36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4" t="s">
        <v>637</v>
      </c>
      <c r="B23" s="36"/>
      <c r="C23" s="12"/>
      <c r="D23" s="18"/>
      <c r="E23" s="36"/>
      <c r="F23" s="36"/>
      <c r="G23" s="18"/>
      <c r="H23" s="18"/>
      <c r="I23" s="36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34" t="s">
        <v>638</v>
      </c>
      <c r="B24" s="36"/>
      <c r="C24" s="12"/>
      <c r="D24" s="18"/>
      <c r="E24" s="36"/>
      <c r="F24" s="36"/>
      <c r="G24" s="18"/>
      <c r="H24" s="18"/>
      <c r="I24" s="36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34" t="s">
        <v>639</v>
      </c>
      <c r="B25" s="36"/>
      <c r="C25" s="12"/>
      <c r="D25" s="18"/>
      <c r="E25" s="36"/>
      <c r="F25" s="36"/>
      <c r="G25" s="18"/>
      <c r="H25" s="18"/>
      <c r="I25" s="36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34" t="s">
        <v>640</v>
      </c>
      <c r="B26" s="36"/>
      <c r="C26" s="12"/>
      <c r="D26" s="18"/>
      <c r="E26" s="36"/>
      <c r="F26" s="36"/>
      <c r="G26" s="18"/>
      <c r="H26" s="18"/>
      <c r="I26" s="36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34" t="s">
        <v>641</v>
      </c>
      <c r="B27" s="36"/>
      <c r="C27" s="12"/>
      <c r="D27" s="18"/>
      <c r="E27" s="36"/>
      <c r="F27" s="36"/>
      <c r="G27" s="18"/>
      <c r="H27" s="18"/>
      <c r="I27" s="36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34" t="s">
        <v>642</v>
      </c>
      <c r="B28" s="36"/>
      <c r="C28" s="12"/>
      <c r="D28" s="18"/>
      <c r="E28" s="36"/>
      <c r="F28" s="36"/>
      <c r="G28" s="18"/>
      <c r="H28" s="18"/>
      <c r="I28" s="36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4" t="s">
        <v>643</v>
      </c>
      <c r="B29" s="36"/>
      <c r="C29" s="12"/>
      <c r="D29" s="18"/>
      <c r="E29" s="36"/>
      <c r="F29" s="36"/>
      <c r="G29" s="18"/>
      <c r="H29" s="18"/>
      <c r="I29" s="36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34" t="s">
        <v>644</v>
      </c>
      <c r="B30" s="36"/>
      <c r="C30" s="12"/>
      <c r="D30" s="18"/>
      <c r="E30" s="36"/>
      <c r="F30" s="36"/>
      <c r="G30" s="18"/>
      <c r="H30" s="18"/>
      <c r="I30" s="36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34" t="s">
        <v>645</v>
      </c>
      <c r="B31" s="36"/>
      <c r="C31" s="12"/>
      <c r="D31" s="18"/>
      <c r="E31" s="36"/>
      <c r="F31" s="36"/>
      <c r="G31" s="18"/>
      <c r="H31" s="18"/>
      <c r="I31" s="36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34" t="s">
        <v>646</v>
      </c>
      <c r="B32" s="36"/>
      <c r="C32" s="12"/>
      <c r="D32" s="18"/>
      <c r="E32" s="36"/>
      <c r="F32" s="36"/>
      <c r="G32" s="18"/>
      <c r="H32" s="18"/>
      <c r="I32" s="36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34" t="s">
        <v>647</v>
      </c>
      <c r="B33" s="36"/>
      <c r="C33" s="12"/>
      <c r="D33" s="18"/>
      <c r="E33" s="36"/>
      <c r="F33" s="36"/>
      <c r="G33" s="18"/>
      <c r="H33" s="18"/>
      <c r="I33" s="36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34" t="s">
        <v>648</v>
      </c>
      <c r="B34" s="36"/>
      <c r="C34" s="12"/>
      <c r="D34" s="18"/>
      <c r="E34" s="36"/>
      <c r="F34" s="36"/>
      <c r="G34" s="18"/>
      <c r="H34" s="18"/>
      <c r="I34" s="36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34" t="s">
        <v>649</v>
      </c>
      <c r="B35" s="36"/>
      <c r="C35" s="12"/>
      <c r="D35" s="18"/>
      <c r="E35" s="36"/>
      <c r="F35" s="36"/>
      <c r="G35" s="18"/>
      <c r="H35" s="18"/>
      <c r="I35" s="36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34" t="s">
        <v>650</v>
      </c>
      <c r="B36" s="36"/>
      <c r="C36" s="12"/>
      <c r="D36" s="18"/>
      <c r="E36" s="36"/>
      <c r="F36" s="36"/>
      <c r="G36" s="18"/>
      <c r="H36" s="18"/>
      <c r="I36" s="36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4" t="s">
        <v>651</v>
      </c>
      <c r="B37" s="36"/>
      <c r="C37" s="12"/>
      <c r="D37" s="18"/>
      <c r="E37" s="36"/>
      <c r="F37" s="36"/>
      <c r="G37" s="18"/>
      <c r="H37" s="18"/>
      <c r="I37" s="36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34" t="s">
        <v>652</v>
      </c>
      <c r="B38" s="36"/>
      <c r="C38" s="12"/>
      <c r="D38" s="18"/>
      <c r="E38" s="36"/>
      <c r="F38" s="36"/>
      <c r="G38" s="18"/>
      <c r="H38" s="18"/>
      <c r="I38" s="36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34" t="s">
        <v>653</v>
      </c>
      <c r="B39" s="36"/>
      <c r="C39" s="12"/>
      <c r="D39" s="18"/>
      <c r="E39" s="36"/>
      <c r="F39" s="36"/>
      <c r="G39" s="18"/>
      <c r="H39" s="18"/>
      <c r="I39" s="36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34" t="s">
        <v>654</v>
      </c>
      <c r="B40" s="36"/>
      <c r="C40" s="12"/>
      <c r="D40" s="18"/>
      <c r="E40" s="36"/>
      <c r="F40" s="36"/>
      <c r="G40" s="18"/>
      <c r="H40" s="18"/>
      <c r="I40" s="36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34" t="s">
        <v>655</v>
      </c>
      <c r="B41" s="36"/>
      <c r="C41" s="12"/>
      <c r="D41" s="18"/>
      <c r="E41" s="36"/>
      <c r="F41" s="36"/>
      <c r="G41" s="18"/>
      <c r="H41" s="18"/>
      <c r="I41" s="36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34" t="s">
        <v>656</v>
      </c>
      <c r="B42" s="36"/>
      <c r="C42" s="12"/>
      <c r="D42" s="18"/>
      <c r="E42" s="36"/>
      <c r="F42" s="36"/>
      <c r="G42" s="18"/>
      <c r="H42" s="18"/>
      <c r="I42" s="36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34" t="s">
        <v>657</v>
      </c>
      <c r="B43" s="36"/>
      <c r="C43" s="12"/>
      <c r="D43" s="18"/>
      <c r="E43" s="36"/>
      <c r="F43" s="36"/>
      <c r="G43" s="18"/>
      <c r="H43" s="18"/>
      <c r="I43" s="36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34">
        <v>181.0</v>
      </c>
      <c r="B44" s="36"/>
      <c r="C44" s="12"/>
      <c r="D44" s="18"/>
      <c r="E44" s="36"/>
      <c r="F44" s="36"/>
      <c r="G44" s="18"/>
      <c r="H44" s="18"/>
      <c r="I44" s="36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34">
        <v>191.0</v>
      </c>
      <c r="B45" s="36"/>
      <c r="C45" s="12"/>
      <c r="D45" s="18"/>
      <c r="E45" s="36"/>
      <c r="F45" s="36"/>
      <c r="G45" s="18"/>
      <c r="H45" s="18"/>
      <c r="I45" s="36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34">
        <v>192.0</v>
      </c>
      <c r="B46" s="36"/>
      <c r="C46" s="12"/>
      <c r="D46" s="18"/>
      <c r="E46" s="36"/>
      <c r="F46" s="36"/>
      <c r="G46" s="18"/>
      <c r="H46" s="18"/>
      <c r="I46" s="36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34">
        <v>193.0</v>
      </c>
      <c r="B47" s="36"/>
      <c r="C47" s="12"/>
      <c r="D47" s="18"/>
      <c r="E47" s="36"/>
      <c r="F47" s="36"/>
      <c r="G47" s="18"/>
      <c r="H47" s="18"/>
      <c r="I47" s="36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34">
        <v>194.0</v>
      </c>
      <c r="B48" s="36"/>
      <c r="C48" s="12"/>
      <c r="D48" s="18"/>
      <c r="E48" s="36"/>
      <c r="F48" s="36"/>
      <c r="G48" s="18"/>
      <c r="H48" s="18"/>
      <c r="I48" s="36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34">
        <v>195.0</v>
      </c>
      <c r="B49" s="36"/>
      <c r="C49" s="12"/>
      <c r="D49" s="18"/>
      <c r="E49" s="36"/>
      <c r="F49" s="36"/>
      <c r="G49" s="18"/>
      <c r="H49" s="18"/>
      <c r="I49" s="36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34" t="s">
        <v>658</v>
      </c>
      <c r="B50" s="36"/>
      <c r="C50" s="12"/>
      <c r="D50" s="18"/>
      <c r="E50" s="36"/>
      <c r="F50" s="36"/>
      <c r="G50" s="18"/>
      <c r="H50" s="18"/>
      <c r="I50" s="36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34" t="s">
        <v>659</v>
      </c>
      <c r="B51" s="36"/>
      <c r="C51" s="12"/>
      <c r="D51" s="18"/>
      <c r="E51" s="36"/>
      <c r="F51" s="36"/>
      <c r="G51" s="18"/>
      <c r="H51" s="18"/>
      <c r="I51" s="36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34" t="s">
        <v>660</v>
      </c>
      <c r="B52" s="36"/>
      <c r="C52" s="12"/>
      <c r="D52" s="18"/>
      <c r="E52" s="36"/>
      <c r="F52" s="36"/>
      <c r="G52" s="18"/>
      <c r="H52" s="18"/>
      <c r="I52" s="36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34" t="s">
        <v>661</v>
      </c>
      <c r="B53" s="36"/>
      <c r="C53" s="12"/>
      <c r="D53" s="18"/>
      <c r="E53" s="36"/>
      <c r="F53" s="36"/>
      <c r="G53" s="18"/>
      <c r="H53" s="18"/>
      <c r="I53" s="36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34" t="s">
        <v>662</v>
      </c>
      <c r="B54" s="36"/>
      <c r="C54" s="12"/>
      <c r="D54" s="18"/>
      <c r="E54" s="36"/>
      <c r="F54" s="36"/>
      <c r="G54" s="18"/>
      <c r="H54" s="18"/>
      <c r="I54" s="36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34" t="s">
        <v>663</v>
      </c>
      <c r="B55" s="36"/>
      <c r="C55" s="12"/>
      <c r="D55" s="18"/>
      <c r="E55" s="36"/>
      <c r="F55" s="36"/>
      <c r="G55" s="18"/>
      <c r="H55" s="18"/>
      <c r="I55" s="36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34" t="s">
        <v>664</v>
      </c>
      <c r="B56" s="36"/>
      <c r="C56" s="12"/>
      <c r="D56" s="18"/>
      <c r="E56" s="36"/>
      <c r="F56" s="36"/>
      <c r="G56" s="18"/>
      <c r="H56" s="18"/>
      <c r="I56" s="36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4" t="s">
        <v>665</v>
      </c>
      <c r="B57" s="36"/>
      <c r="C57" s="12"/>
      <c r="D57" s="18"/>
      <c r="E57" s="36"/>
      <c r="F57" s="36"/>
      <c r="G57" s="18"/>
      <c r="H57" s="18"/>
      <c r="I57" s="36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34" t="s">
        <v>666</v>
      </c>
      <c r="B58" s="36"/>
      <c r="C58" s="12"/>
      <c r="D58" s="18"/>
      <c r="E58" s="36"/>
      <c r="F58" s="36"/>
      <c r="G58" s="18"/>
      <c r="H58" s="18"/>
      <c r="I58" s="36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34" t="s">
        <v>667</v>
      </c>
      <c r="B59" s="36"/>
      <c r="C59" s="12"/>
      <c r="D59" s="18"/>
      <c r="E59" s="36"/>
      <c r="F59" s="36"/>
      <c r="G59" s="18"/>
      <c r="H59" s="18"/>
      <c r="I59" s="36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34" t="s">
        <v>668</v>
      </c>
      <c r="B60" s="36"/>
      <c r="C60" s="12"/>
      <c r="D60" s="18"/>
      <c r="E60" s="36"/>
      <c r="F60" s="36"/>
      <c r="G60" s="18"/>
      <c r="H60" s="18"/>
      <c r="I60" s="36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34" t="s">
        <v>669</v>
      </c>
      <c r="B61" s="36"/>
      <c r="C61" s="12"/>
      <c r="D61" s="18"/>
      <c r="E61" s="36"/>
      <c r="F61" s="36"/>
      <c r="G61" s="18"/>
      <c r="H61" s="18"/>
      <c r="I61" s="36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34" t="s">
        <v>670</v>
      </c>
      <c r="B62" s="36"/>
      <c r="C62" s="12"/>
      <c r="D62" s="18"/>
      <c r="E62" s="36"/>
      <c r="F62" s="36"/>
      <c r="G62" s="18"/>
      <c r="H62" s="18"/>
      <c r="I62" s="36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34" t="s">
        <v>671</v>
      </c>
      <c r="B63" s="36"/>
      <c r="C63" s="12"/>
      <c r="D63" s="18"/>
      <c r="E63" s="36"/>
      <c r="F63" s="36"/>
      <c r="G63" s="18"/>
      <c r="H63" s="18"/>
      <c r="I63" s="36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34" t="s">
        <v>672</v>
      </c>
      <c r="B64" s="36"/>
      <c r="C64" s="12"/>
      <c r="D64" s="18"/>
      <c r="E64" s="36"/>
      <c r="F64" s="36"/>
      <c r="G64" s="18"/>
      <c r="H64" s="18"/>
      <c r="I64" s="36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34" t="s">
        <v>673</v>
      </c>
      <c r="B65" s="36"/>
      <c r="C65" s="12"/>
      <c r="D65" s="18"/>
      <c r="E65" s="36"/>
      <c r="F65" s="36"/>
      <c r="G65" s="18"/>
      <c r="H65" s="18"/>
      <c r="I65" s="36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34" t="s">
        <v>674</v>
      </c>
      <c r="B66" s="36"/>
      <c r="C66" s="12"/>
      <c r="D66" s="18"/>
      <c r="E66" s="36"/>
      <c r="F66" s="36"/>
      <c r="G66" s="18"/>
      <c r="H66" s="18"/>
      <c r="I66" s="36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34" t="s">
        <v>675</v>
      </c>
      <c r="B67" s="36"/>
      <c r="C67" s="12"/>
      <c r="D67" s="18"/>
      <c r="E67" s="36"/>
      <c r="F67" s="36"/>
      <c r="G67" s="18"/>
      <c r="H67" s="18"/>
      <c r="I67" s="36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34">
        <v>21.0</v>
      </c>
      <c r="B68" s="36"/>
      <c r="C68" s="12"/>
      <c r="D68" s="18"/>
      <c r="E68" s="36"/>
      <c r="F68" s="36"/>
      <c r="G68" s="18"/>
      <c r="H68" s="18"/>
      <c r="I68" s="36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34">
        <v>22.0</v>
      </c>
      <c r="B69" s="36"/>
      <c r="C69" s="12"/>
      <c r="D69" s="18"/>
      <c r="E69" s="36"/>
      <c r="F69" s="36"/>
      <c r="G69" s="18"/>
      <c r="H69" s="18"/>
      <c r="I69" s="36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34">
        <v>23.0</v>
      </c>
      <c r="B70" s="36"/>
      <c r="C70" s="12"/>
      <c r="D70" s="18"/>
      <c r="E70" s="36"/>
      <c r="F70" s="36"/>
      <c r="G70" s="18"/>
      <c r="H70" s="18"/>
      <c r="I70" s="36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34">
        <v>24.0</v>
      </c>
      <c r="B71" s="36"/>
      <c r="C71" s="12"/>
      <c r="D71" s="18"/>
      <c r="E71" s="36"/>
      <c r="F71" s="36"/>
      <c r="G71" s="18"/>
      <c r="H71" s="18"/>
      <c r="I71" s="36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34">
        <v>25.0</v>
      </c>
      <c r="B72" s="36"/>
      <c r="C72" s="12"/>
      <c r="D72" s="18"/>
      <c r="E72" s="36"/>
      <c r="F72" s="36"/>
      <c r="G72" s="18"/>
      <c r="H72" s="18"/>
      <c r="I72" s="36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34">
        <v>261.0</v>
      </c>
      <c r="B73" s="36"/>
      <c r="C73" s="12"/>
      <c r="D73" s="18"/>
      <c r="E73" s="36"/>
      <c r="F73" s="36"/>
      <c r="G73" s="18"/>
      <c r="H73" s="18"/>
      <c r="I73" s="36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34">
        <v>262.0</v>
      </c>
      <c r="B74" s="36"/>
      <c r="C74" s="12"/>
      <c r="D74" s="18"/>
      <c r="E74" s="36"/>
      <c r="F74" s="36"/>
      <c r="G74" s="18"/>
      <c r="H74" s="18"/>
      <c r="I74" s="36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34">
        <v>271.0</v>
      </c>
      <c r="B75" s="36"/>
      <c r="C75" s="12"/>
      <c r="D75" s="18"/>
      <c r="E75" s="36"/>
      <c r="F75" s="36"/>
      <c r="G75" s="18"/>
      <c r="H75" s="18"/>
      <c r="I75" s="36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34">
        <v>272.0</v>
      </c>
      <c r="B76" s="36"/>
      <c r="C76" s="12"/>
      <c r="D76" s="18"/>
      <c r="E76" s="36"/>
      <c r="F76" s="36"/>
      <c r="G76" s="18"/>
      <c r="H76" s="18"/>
      <c r="I76" s="36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4">
        <v>273.0</v>
      </c>
      <c r="B77" s="36"/>
      <c r="C77" s="12"/>
      <c r="D77" s="18"/>
      <c r="E77" s="36"/>
      <c r="F77" s="36"/>
      <c r="G77" s="18"/>
      <c r="H77" s="18"/>
      <c r="I77" s="36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34">
        <v>274.0</v>
      </c>
      <c r="B78" s="36"/>
      <c r="C78" s="12"/>
      <c r="D78" s="18"/>
      <c r="E78" s="36"/>
      <c r="F78" s="36"/>
      <c r="G78" s="18"/>
      <c r="H78" s="18"/>
      <c r="I78" s="36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34">
        <v>275.0</v>
      </c>
      <c r="B79" s="36"/>
      <c r="C79" s="12"/>
      <c r="D79" s="18"/>
      <c r="E79" s="36"/>
      <c r="F79" s="36"/>
      <c r="G79" s="18"/>
      <c r="H79" s="18"/>
      <c r="I79" s="36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34">
        <v>276.0</v>
      </c>
      <c r="B80" s="36"/>
      <c r="C80" s="12"/>
      <c r="D80" s="18"/>
      <c r="E80" s="36"/>
      <c r="F80" s="36"/>
      <c r="G80" s="18"/>
      <c r="H80" s="18"/>
      <c r="I80" s="36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34">
        <v>281.0</v>
      </c>
      <c r="B81" s="36"/>
      <c r="C81" s="12"/>
      <c r="D81" s="18"/>
      <c r="E81" s="36"/>
      <c r="F81" s="36"/>
      <c r="G81" s="18"/>
      <c r="H81" s="18"/>
      <c r="I81" s="36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34">
        <v>291.0</v>
      </c>
      <c r="B82" s="36"/>
      <c r="C82" s="12"/>
      <c r="D82" s="18"/>
      <c r="E82" s="36"/>
      <c r="F82" s="36"/>
      <c r="G82" s="18"/>
      <c r="H82" s="18"/>
      <c r="I82" s="36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34" t="s">
        <v>676</v>
      </c>
      <c r="B83" s="36"/>
      <c r="C83" s="12"/>
      <c r="D83" s="18"/>
      <c r="E83" s="36"/>
      <c r="F83" s="36"/>
      <c r="G83" s="18"/>
      <c r="H83" s="18"/>
      <c r="I83" s="36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34" t="s">
        <v>677</v>
      </c>
      <c r="B84" s="36"/>
      <c r="C84" s="12"/>
      <c r="D84" s="18"/>
      <c r="E84" s="36"/>
      <c r="F84" s="36"/>
      <c r="G84" s="18"/>
      <c r="H84" s="18"/>
      <c r="I84" s="36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34" t="s">
        <v>678</v>
      </c>
      <c r="B85" s="36"/>
      <c r="C85" s="12"/>
      <c r="D85" s="18"/>
      <c r="E85" s="36"/>
      <c r="F85" s="36"/>
      <c r="G85" s="18"/>
      <c r="H85" s="18"/>
      <c r="I85" s="36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34" t="s">
        <v>679</v>
      </c>
      <c r="B86" s="36"/>
      <c r="C86" s="12"/>
      <c r="D86" s="18"/>
      <c r="E86" s="36"/>
      <c r="F86" s="36"/>
      <c r="G86" s="18"/>
      <c r="H86" s="18"/>
      <c r="I86" s="36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34" t="s">
        <v>680</v>
      </c>
      <c r="B87" s="36"/>
      <c r="C87" s="12"/>
      <c r="D87" s="18"/>
      <c r="E87" s="36"/>
      <c r="F87" s="36"/>
      <c r="G87" s="18"/>
      <c r="H87" s="18"/>
      <c r="I87" s="36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34" t="s">
        <v>681</v>
      </c>
      <c r="B88" s="36"/>
      <c r="C88" s="12"/>
      <c r="D88" s="18"/>
      <c r="E88" s="36"/>
      <c r="F88" s="36"/>
      <c r="G88" s="18"/>
      <c r="H88" s="18"/>
      <c r="I88" s="36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34" t="s">
        <v>682</v>
      </c>
      <c r="B89" s="36"/>
      <c r="C89" s="12"/>
      <c r="D89" s="18"/>
      <c r="E89" s="36"/>
      <c r="F89" s="36"/>
      <c r="G89" s="18"/>
      <c r="H89" s="18"/>
      <c r="I89" s="36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34" t="s">
        <v>683</v>
      </c>
      <c r="B90" s="36"/>
      <c r="C90" s="12"/>
      <c r="D90" s="18"/>
      <c r="E90" s="36"/>
      <c r="F90" s="36"/>
      <c r="G90" s="18"/>
      <c r="H90" s="18"/>
      <c r="I90" s="36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34" t="s">
        <v>684</v>
      </c>
      <c r="B91" s="36"/>
      <c r="C91" s="12"/>
      <c r="D91" s="18"/>
      <c r="E91" s="36"/>
      <c r="F91" s="36"/>
      <c r="G91" s="18"/>
      <c r="H91" s="18"/>
      <c r="I91" s="36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34" t="s">
        <v>685</v>
      </c>
      <c r="B92" s="36"/>
      <c r="C92" s="12"/>
      <c r="D92" s="18"/>
      <c r="E92" s="36"/>
      <c r="F92" s="36"/>
      <c r="G92" s="18"/>
      <c r="H92" s="18"/>
      <c r="I92" s="36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34" t="s">
        <v>686</v>
      </c>
      <c r="B93" s="36"/>
      <c r="C93" s="12"/>
      <c r="D93" s="18"/>
      <c r="E93" s="36"/>
      <c r="F93" s="36"/>
      <c r="G93" s="18"/>
      <c r="H93" s="18"/>
      <c r="I93" s="36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34" t="s">
        <v>687</v>
      </c>
      <c r="B94" s="36"/>
      <c r="C94" s="12"/>
      <c r="D94" s="18"/>
      <c r="E94" s="36"/>
      <c r="F94" s="36"/>
      <c r="G94" s="18"/>
      <c r="H94" s="18"/>
      <c r="I94" s="36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34" t="s">
        <v>688</v>
      </c>
      <c r="B95" s="36"/>
      <c r="C95" s="12"/>
      <c r="D95" s="18"/>
      <c r="E95" s="36"/>
      <c r="F95" s="36"/>
      <c r="G95" s="18"/>
      <c r="H95" s="18"/>
      <c r="I95" s="36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34" t="s">
        <v>689</v>
      </c>
      <c r="B96" s="36"/>
      <c r="C96" s="12"/>
      <c r="D96" s="18"/>
      <c r="E96" s="36"/>
      <c r="F96" s="36"/>
      <c r="G96" s="18"/>
      <c r="H96" s="18"/>
      <c r="I96" s="36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34" t="s">
        <v>690</v>
      </c>
      <c r="B97" s="36"/>
      <c r="C97" s="12"/>
      <c r="D97" s="18"/>
      <c r="E97" s="36"/>
      <c r="F97" s="36"/>
      <c r="G97" s="18"/>
      <c r="H97" s="18"/>
      <c r="I97" s="36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34" t="s">
        <v>691</v>
      </c>
      <c r="B98" s="36"/>
      <c r="C98" s="12"/>
      <c r="D98" s="18"/>
      <c r="E98" s="36"/>
      <c r="F98" s="36"/>
      <c r="G98" s="18"/>
      <c r="H98" s="18"/>
      <c r="I98" s="36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34" t="s">
        <v>692</v>
      </c>
      <c r="B99" s="36"/>
      <c r="C99" s="12"/>
      <c r="D99" s="18"/>
      <c r="E99" s="36"/>
      <c r="F99" s="36"/>
      <c r="G99" s="18"/>
      <c r="H99" s="18"/>
      <c r="I99" s="36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34" t="s">
        <v>693</v>
      </c>
      <c r="B100" s="36"/>
      <c r="C100" s="12"/>
      <c r="D100" s="18"/>
      <c r="E100" s="36"/>
      <c r="F100" s="36"/>
      <c r="G100" s="18"/>
      <c r="H100" s="18"/>
      <c r="I100" s="36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34" t="s">
        <v>694</v>
      </c>
      <c r="B101" s="36"/>
      <c r="C101" s="12"/>
      <c r="D101" s="18"/>
      <c r="E101" s="36"/>
      <c r="F101" s="36"/>
      <c r="G101" s="18"/>
      <c r="H101" s="18"/>
      <c r="I101" s="36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34" t="s">
        <v>695</v>
      </c>
      <c r="B102" s="36"/>
      <c r="C102" s="12"/>
      <c r="D102" s="18"/>
      <c r="E102" s="36"/>
      <c r="F102" s="36"/>
      <c r="G102" s="18"/>
      <c r="H102" s="18"/>
      <c r="I102" s="36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4" t="s">
        <v>696</v>
      </c>
      <c r="B103" s="36"/>
      <c r="C103" s="12"/>
      <c r="D103" s="18"/>
      <c r="E103" s="36"/>
      <c r="F103" s="36"/>
      <c r="G103" s="18"/>
      <c r="H103" s="18"/>
      <c r="I103" s="36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34" t="s">
        <v>697</v>
      </c>
      <c r="B104" s="36"/>
      <c r="C104" s="12"/>
      <c r="D104" s="18"/>
      <c r="E104" s="36"/>
      <c r="F104" s="36"/>
      <c r="G104" s="18"/>
      <c r="H104" s="18"/>
      <c r="I104" s="36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4" t="s">
        <v>698</v>
      </c>
      <c r="B105" s="36"/>
      <c r="C105" s="12"/>
      <c r="D105" s="18"/>
      <c r="E105" s="36"/>
      <c r="F105" s="36"/>
      <c r="G105" s="18"/>
      <c r="H105" s="18"/>
      <c r="I105" s="36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34" t="s">
        <v>699</v>
      </c>
      <c r="B106" s="36"/>
      <c r="C106" s="12"/>
      <c r="D106" s="18"/>
      <c r="E106" s="36"/>
      <c r="F106" s="36"/>
      <c r="G106" s="18"/>
      <c r="H106" s="18"/>
      <c r="I106" s="36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4" t="s">
        <v>700</v>
      </c>
      <c r="B107" s="36"/>
      <c r="C107" s="12"/>
      <c r="D107" s="18"/>
      <c r="E107" s="36"/>
      <c r="F107" s="36"/>
      <c r="G107" s="18"/>
      <c r="H107" s="18"/>
      <c r="I107" s="36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34" t="s">
        <v>701</v>
      </c>
      <c r="B108" s="36"/>
      <c r="C108" s="12"/>
      <c r="D108" s="18"/>
      <c r="E108" s="36"/>
      <c r="F108" s="36"/>
      <c r="G108" s="18"/>
      <c r="H108" s="18"/>
      <c r="I108" s="36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34" t="s">
        <v>702</v>
      </c>
      <c r="B109" s="36"/>
      <c r="C109" s="12"/>
      <c r="D109" s="18"/>
      <c r="E109" s="36"/>
      <c r="F109" s="36"/>
      <c r="G109" s="18"/>
      <c r="H109" s="18"/>
      <c r="I109" s="36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34" t="s">
        <v>703</v>
      </c>
      <c r="B110" s="36"/>
      <c r="C110" s="12"/>
      <c r="D110" s="18"/>
      <c r="E110" s="36"/>
      <c r="F110" s="36"/>
      <c r="G110" s="18"/>
      <c r="H110" s="18"/>
      <c r="I110" s="36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34" t="s">
        <v>704</v>
      </c>
      <c r="B111" s="36"/>
      <c r="C111" s="12"/>
      <c r="D111" s="18"/>
      <c r="E111" s="36"/>
      <c r="F111" s="36"/>
      <c r="G111" s="18"/>
      <c r="H111" s="18"/>
      <c r="I111" s="36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34" t="s">
        <v>705</v>
      </c>
      <c r="B112" s="36"/>
      <c r="C112" s="12"/>
      <c r="D112" s="18"/>
      <c r="E112" s="36"/>
      <c r="F112" s="36"/>
      <c r="G112" s="18"/>
      <c r="H112" s="18"/>
      <c r="I112" s="36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34" t="s">
        <v>706</v>
      </c>
      <c r="B113" s="36"/>
      <c r="C113" s="12"/>
      <c r="D113" s="18"/>
      <c r="E113" s="36"/>
      <c r="F113" s="36"/>
      <c r="G113" s="18"/>
      <c r="H113" s="18"/>
      <c r="I113" s="36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34" t="s">
        <v>707</v>
      </c>
      <c r="B114" s="36"/>
      <c r="C114" s="12"/>
      <c r="D114" s="18"/>
      <c r="E114" s="36"/>
      <c r="F114" s="36"/>
      <c r="G114" s="18"/>
      <c r="H114" s="18"/>
      <c r="I114" s="36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34" t="s">
        <v>708</v>
      </c>
      <c r="B115" s="36"/>
      <c r="C115" s="12"/>
      <c r="D115" s="18"/>
      <c r="E115" s="36"/>
      <c r="F115" s="36"/>
      <c r="G115" s="18"/>
      <c r="H115" s="18"/>
      <c r="I115" s="36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34" t="s">
        <v>709</v>
      </c>
      <c r="B116" s="36"/>
      <c r="C116" s="12"/>
      <c r="D116" s="18"/>
      <c r="E116" s="36"/>
      <c r="F116" s="36"/>
      <c r="G116" s="18"/>
      <c r="H116" s="18"/>
      <c r="I116" s="36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34" t="s">
        <v>710</v>
      </c>
      <c r="B117" s="36"/>
      <c r="C117" s="12"/>
      <c r="D117" s="18"/>
      <c r="E117" s="36"/>
      <c r="F117" s="36"/>
      <c r="G117" s="18"/>
      <c r="H117" s="18"/>
      <c r="I117" s="36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34" t="s">
        <v>711</v>
      </c>
      <c r="B118" s="36"/>
      <c r="C118" s="12"/>
      <c r="D118" s="18"/>
      <c r="E118" s="36"/>
      <c r="F118" s="36"/>
      <c r="G118" s="18"/>
      <c r="H118" s="18"/>
      <c r="I118" s="36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34" t="s">
        <v>712</v>
      </c>
      <c r="B119" s="36"/>
      <c r="C119" s="12"/>
      <c r="D119" s="18"/>
      <c r="E119" s="36"/>
      <c r="F119" s="36"/>
      <c r="G119" s="18"/>
      <c r="H119" s="18"/>
      <c r="I119" s="36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34" t="s">
        <v>713</v>
      </c>
      <c r="B120" s="36"/>
      <c r="C120" s="12"/>
      <c r="D120" s="18"/>
      <c r="E120" s="36"/>
      <c r="F120" s="36"/>
      <c r="G120" s="18"/>
      <c r="H120" s="18"/>
      <c r="I120" s="36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34" t="s">
        <v>714</v>
      </c>
      <c r="B121" s="36"/>
      <c r="C121" s="12"/>
      <c r="D121" s="18"/>
      <c r="E121" s="36"/>
      <c r="F121" s="36"/>
      <c r="G121" s="18"/>
      <c r="H121" s="18"/>
      <c r="I121" s="36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34" t="s">
        <v>715</v>
      </c>
      <c r="B122" s="36"/>
      <c r="C122" s="12"/>
      <c r="D122" s="18"/>
      <c r="E122" s="36"/>
      <c r="F122" s="36"/>
      <c r="G122" s="18"/>
      <c r="H122" s="18"/>
      <c r="I122" s="36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34" t="s">
        <v>715</v>
      </c>
      <c r="B123" s="36"/>
      <c r="C123" s="12"/>
      <c r="D123" s="18"/>
      <c r="E123" s="36"/>
      <c r="F123" s="36"/>
      <c r="G123" s="18"/>
      <c r="H123" s="18"/>
      <c r="I123" s="36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34" t="s">
        <v>716</v>
      </c>
      <c r="B124" s="36"/>
      <c r="C124" s="12"/>
      <c r="D124" s="18"/>
      <c r="E124" s="36"/>
      <c r="F124" s="36"/>
      <c r="G124" s="18"/>
      <c r="H124" s="18"/>
      <c r="I124" s="36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34" t="s">
        <v>717</v>
      </c>
      <c r="B125" s="36"/>
      <c r="C125" s="12"/>
      <c r="D125" s="18"/>
      <c r="E125" s="36"/>
      <c r="F125" s="36"/>
      <c r="G125" s="18"/>
      <c r="H125" s="18"/>
      <c r="I125" s="36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34" t="s">
        <v>718</v>
      </c>
      <c r="B126" s="36"/>
      <c r="C126" s="12"/>
      <c r="D126" s="18"/>
      <c r="E126" s="36"/>
      <c r="F126" s="36"/>
      <c r="G126" s="18"/>
      <c r="H126" s="18"/>
      <c r="I126" s="36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34" t="s">
        <v>719</v>
      </c>
      <c r="B127" s="36"/>
      <c r="C127" s="12"/>
      <c r="D127" s="18"/>
      <c r="E127" s="36"/>
      <c r="F127" s="36"/>
      <c r="G127" s="18"/>
      <c r="H127" s="18"/>
      <c r="I127" s="36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34" t="s">
        <v>720</v>
      </c>
      <c r="B128" s="36"/>
      <c r="C128" s="12"/>
      <c r="D128" s="18"/>
      <c r="E128" s="36"/>
      <c r="F128" s="36"/>
      <c r="G128" s="18"/>
      <c r="H128" s="18"/>
      <c r="I128" s="36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34" t="s">
        <v>721</v>
      </c>
      <c r="B129" s="36"/>
      <c r="C129" s="12"/>
      <c r="D129" s="18"/>
      <c r="E129" s="36"/>
      <c r="F129" s="36"/>
      <c r="G129" s="18"/>
      <c r="H129" s="18"/>
      <c r="I129" s="36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34" t="s">
        <v>722</v>
      </c>
      <c r="B130" s="36"/>
      <c r="C130" s="12"/>
      <c r="D130" s="18"/>
      <c r="E130" s="36"/>
      <c r="F130" s="36"/>
      <c r="G130" s="18"/>
      <c r="H130" s="18"/>
      <c r="I130" s="36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4" t="s">
        <v>723</v>
      </c>
      <c r="B131" s="36"/>
      <c r="C131" s="12"/>
      <c r="D131" s="18"/>
      <c r="E131" s="36"/>
      <c r="F131" s="36"/>
      <c r="G131" s="18"/>
      <c r="H131" s="18"/>
      <c r="I131" s="36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34" t="s">
        <v>724</v>
      </c>
      <c r="B132" s="36"/>
      <c r="C132" s="12"/>
      <c r="D132" s="18"/>
      <c r="E132" s="36"/>
      <c r="F132" s="36"/>
      <c r="G132" s="18"/>
      <c r="H132" s="18"/>
      <c r="I132" s="36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34" t="s">
        <v>725</v>
      </c>
      <c r="B133" s="36"/>
      <c r="C133" s="12"/>
      <c r="D133" s="18"/>
      <c r="E133" s="36"/>
      <c r="F133" s="36"/>
      <c r="G133" s="18"/>
      <c r="H133" s="18"/>
      <c r="I133" s="36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34" t="s">
        <v>726</v>
      </c>
      <c r="B134" s="36"/>
      <c r="C134" s="12"/>
      <c r="D134" s="18"/>
      <c r="E134" s="36"/>
      <c r="F134" s="36"/>
      <c r="G134" s="18"/>
      <c r="H134" s="18"/>
      <c r="I134" s="36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34" t="s">
        <v>727</v>
      </c>
      <c r="B135" s="36"/>
      <c r="C135" s="12"/>
      <c r="D135" s="18"/>
      <c r="E135" s="36"/>
      <c r="F135" s="36"/>
      <c r="G135" s="18"/>
      <c r="H135" s="18"/>
      <c r="I135" s="36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34" t="s">
        <v>728</v>
      </c>
      <c r="B136" s="36"/>
      <c r="C136" s="12"/>
      <c r="D136" s="18"/>
      <c r="E136" s="36"/>
      <c r="F136" s="36"/>
      <c r="G136" s="18"/>
      <c r="H136" s="18"/>
      <c r="I136" s="36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4" t="s">
        <v>729</v>
      </c>
      <c r="B137" s="36"/>
      <c r="C137" s="12"/>
      <c r="D137" s="18"/>
      <c r="E137" s="36"/>
      <c r="F137" s="36"/>
      <c r="G137" s="18"/>
      <c r="H137" s="18"/>
      <c r="I137" s="36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34" t="s">
        <v>730</v>
      </c>
      <c r="B138" s="36"/>
      <c r="C138" s="12"/>
      <c r="D138" s="18"/>
      <c r="E138" s="36"/>
      <c r="F138" s="36"/>
      <c r="G138" s="18"/>
      <c r="H138" s="18"/>
      <c r="I138" s="36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34" t="s">
        <v>731</v>
      </c>
      <c r="B139" s="36"/>
      <c r="C139" s="12"/>
      <c r="D139" s="18"/>
      <c r="E139" s="36"/>
      <c r="F139" s="36"/>
      <c r="G139" s="18"/>
      <c r="H139" s="18"/>
      <c r="I139" s="36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34" t="s">
        <v>732</v>
      </c>
      <c r="B140" s="36"/>
      <c r="C140" s="12"/>
      <c r="D140" s="18"/>
      <c r="E140" s="36"/>
      <c r="F140" s="36"/>
      <c r="G140" s="18"/>
      <c r="H140" s="18"/>
      <c r="I140" s="36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34" t="s">
        <v>733</v>
      </c>
      <c r="B141" s="36"/>
      <c r="C141" s="12"/>
      <c r="D141" s="18"/>
      <c r="E141" s="36"/>
      <c r="F141" s="36"/>
      <c r="G141" s="18"/>
      <c r="H141" s="18"/>
      <c r="I141" s="36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34" t="s">
        <v>734</v>
      </c>
      <c r="B142" s="36"/>
      <c r="C142" s="12"/>
      <c r="D142" s="18"/>
      <c r="E142" s="36"/>
      <c r="F142" s="36"/>
      <c r="G142" s="18"/>
      <c r="H142" s="18"/>
      <c r="I142" s="36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34" t="s">
        <v>735</v>
      </c>
      <c r="B143" s="36"/>
      <c r="C143" s="12"/>
      <c r="D143" s="18"/>
      <c r="E143" s="36"/>
      <c r="F143" s="36"/>
      <c r="G143" s="18"/>
      <c r="H143" s="18"/>
      <c r="I143" s="36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34" t="s">
        <v>736</v>
      </c>
      <c r="B144" s="36"/>
      <c r="C144" s="12"/>
      <c r="D144" s="18"/>
      <c r="E144" s="36"/>
      <c r="F144" s="36"/>
      <c r="G144" s="18"/>
      <c r="H144" s="18"/>
      <c r="I144" s="36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34" t="s">
        <v>737</v>
      </c>
      <c r="B145" s="36"/>
      <c r="C145" s="12"/>
      <c r="D145" s="18"/>
      <c r="E145" s="36"/>
      <c r="F145" s="36"/>
      <c r="G145" s="18"/>
      <c r="H145" s="18"/>
      <c r="I145" s="36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34" t="s">
        <v>738</v>
      </c>
      <c r="B146" s="36"/>
      <c r="C146" s="12"/>
      <c r="D146" s="18"/>
      <c r="E146" s="36"/>
      <c r="F146" s="36"/>
      <c r="G146" s="18"/>
      <c r="H146" s="18"/>
      <c r="I146" s="36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34" t="s">
        <v>739</v>
      </c>
      <c r="B147" s="36"/>
      <c r="C147" s="12"/>
      <c r="D147" s="18"/>
      <c r="E147" s="36"/>
      <c r="F147" s="36"/>
      <c r="G147" s="18"/>
      <c r="H147" s="18"/>
      <c r="I147" s="36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34" t="s">
        <v>740</v>
      </c>
      <c r="B148" s="36"/>
      <c r="C148" s="12"/>
      <c r="D148" s="18"/>
      <c r="E148" s="36"/>
      <c r="F148" s="36"/>
      <c r="G148" s="18"/>
      <c r="H148" s="18"/>
      <c r="I148" s="36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34" t="s">
        <v>741</v>
      </c>
      <c r="B149" s="36"/>
      <c r="C149" s="12"/>
      <c r="D149" s="18"/>
      <c r="E149" s="36"/>
      <c r="F149" s="36"/>
      <c r="G149" s="18"/>
      <c r="H149" s="18"/>
      <c r="I149" s="36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34" t="s">
        <v>742</v>
      </c>
      <c r="B150" s="36"/>
      <c r="C150" s="12"/>
      <c r="D150" s="18"/>
      <c r="E150" s="36"/>
      <c r="F150" s="36"/>
      <c r="G150" s="18"/>
      <c r="H150" s="18"/>
      <c r="I150" s="36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34" t="s">
        <v>743</v>
      </c>
      <c r="B151" s="36"/>
      <c r="C151" s="12"/>
      <c r="D151" s="18"/>
      <c r="E151" s="36"/>
      <c r="F151" s="36"/>
      <c r="G151" s="18"/>
      <c r="H151" s="18"/>
      <c r="I151" s="36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34" t="s">
        <v>744</v>
      </c>
      <c r="B152" s="36"/>
      <c r="C152" s="12"/>
      <c r="D152" s="18"/>
      <c r="E152" s="36"/>
      <c r="F152" s="36"/>
      <c r="G152" s="18"/>
      <c r="H152" s="18"/>
      <c r="I152" s="36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34" t="s">
        <v>745</v>
      </c>
      <c r="B153" s="36"/>
      <c r="C153" s="12"/>
      <c r="D153" s="18"/>
      <c r="E153" s="36"/>
      <c r="F153" s="36"/>
      <c r="G153" s="18"/>
      <c r="H153" s="18"/>
      <c r="I153" s="36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34" t="s">
        <v>746</v>
      </c>
      <c r="B154" s="36"/>
      <c r="C154" s="12"/>
      <c r="D154" s="18"/>
      <c r="E154" s="36"/>
      <c r="F154" s="36"/>
      <c r="G154" s="18"/>
      <c r="H154" s="18"/>
      <c r="I154" s="36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34" t="s">
        <v>747</v>
      </c>
      <c r="B155" s="36"/>
      <c r="C155" s="12"/>
      <c r="D155" s="18"/>
      <c r="E155" s="36"/>
      <c r="F155" s="36"/>
      <c r="G155" s="18"/>
      <c r="H155" s="18"/>
      <c r="I155" s="36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34" t="s">
        <v>748</v>
      </c>
      <c r="B156" s="36"/>
      <c r="C156" s="12"/>
      <c r="D156" s="18"/>
      <c r="E156" s="36"/>
      <c r="F156" s="36"/>
      <c r="G156" s="18"/>
      <c r="H156" s="18"/>
      <c r="I156" s="36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34" t="s">
        <v>749</v>
      </c>
      <c r="B157" s="36"/>
      <c r="C157" s="12"/>
      <c r="D157" s="18"/>
      <c r="E157" s="36"/>
      <c r="F157" s="36"/>
      <c r="G157" s="18"/>
      <c r="H157" s="18"/>
      <c r="I157" s="36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34" t="s">
        <v>750</v>
      </c>
      <c r="B158" s="36"/>
      <c r="C158" s="12"/>
      <c r="D158" s="18"/>
      <c r="E158" s="36"/>
      <c r="F158" s="36"/>
      <c r="G158" s="18"/>
      <c r="H158" s="18"/>
      <c r="I158" s="36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34" t="s">
        <v>751</v>
      </c>
      <c r="B159" s="36"/>
      <c r="C159" s="12"/>
      <c r="D159" s="18"/>
      <c r="E159" s="36"/>
      <c r="F159" s="36"/>
      <c r="G159" s="18"/>
      <c r="H159" s="18"/>
      <c r="I159" s="36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34" t="s">
        <v>752</v>
      </c>
      <c r="B160" s="36"/>
      <c r="C160" s="12"/>
      <c r="D160" s="18"/>
      <c r="E160" s="36"/>
      <c r="F160" s="36"/>
      <c r="G160" s="18"/>
      <c r="H160" s="18"/>
      <c r="I160" s="36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34" t="s">
        <v>753</v>
      </c>
      <c r="B161" s="36"/>
      <c r="C161" s="12"/>
      <c r="D161" s="18"/>
      <c r="E161" s="36"/>
      <c r="F161" s="36"/>
      <c r="G161" s="18"/>
      <c r="H161" s="18"/>
      <c r="I161" s="36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34" t="s">
        <v>754</v>
      </c>
      <c r="B162" s="36"/>
      <c r="C162" s="12"/>
      <c r="D162" s="18"/>
      <c r="E162" s="36"/>
      <c r="F162" s="36"/>
      <c r="G162" s="18"/>
      <c r="H162" s="18"/>
      <c r="I162" s="36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34">
        <v>31.0</v>
      </c>
      <c r="B163" s="36"/>
      <c r="C163" s="12"/>
      <c r="D163" s="18"/>
      <c r="E163" s="36"/>
      <c r="F163" s="36"/>
      <c r="G163" s="18"/>
      <c r="H163" s="18"/>
      <c r="I163" s="36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34">
        <v>321.0</v>
      </c>
      <c r="B164" s="36"/>
      <c r="C164" s="12"/>
      <c r="D164" s="18"/>
      <c r="E164" s="36"/>
      <c r="F164" s="36"/>
      <c r="G164" s="18"/>
      <c r="H164" s="18"/>
      <c r="I164" s="36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34">
        <v>322.0</v>
      </c>
      <c r="B165" s="36"/>
      <c r="C165" s="12"/>
      <c r="D165" s="18"/>
      <c r="E165" s="36"/>
      <c r="F165" s="36"/>
      <c r="G165" s="18"/>
      <c r="H165" s="18"/>
      <c r="I165" s="36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34">
        <v>323.0</v>
      </c>
      <c r="B166" s="36"/>
      <c r="C166" s="12"/>
      <c r="D166" s="18"/>
      <c r="E166" s="36"/>
      <c r="F166" s="36"/>
      <c r="G166" s="18"/>
      <c r="H166" s="18"/>
      <c r="I166" s="36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34">
        <v>331.0</v>
      </c>
      <c r="B167" s="36"/>
      <c r="C167" s="12"/>
      <c r="D167" s="18"/>
      <c r="E167" s="36"/>
      <c r="F167" s="36"/>
      <c r="G167" s="18"/>
      <c r="H167" s="18"/>
      <c r="I167" s="36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34">
        <v>332.0</v>
      </c>
      <c r="B168" s="36"/>
      <c r="C168" s="12"/>
      <c r="D168" s="18"/>
      <c r="E168" s="36"/>
      <c r="F168" s="36"/>
      <c r="G168" s="18"/>
      <c r="H168" s="18"/>
      <c r="I168" s="36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34">
        <v>34.0</v>
      </c>
      <c r="B169" s="36"/>
      <c r="C169" s="12"/>
      <c r="D169" s="18"/>
      <c r="E169" s="36"/>
      <c r="F169" s="36"/>
      <c r="G169" s="18"/>
      <c r="H169" s="18"/>
      <c r="I169" s="36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34">
        <v>35.0</v>
      </c>
      <c r="B170" s="36"/>
      <c r="C170" s="12"/>
      <c r="D170" s="18"/>
      <c r="E170" s="36"/>
      <c r="F170" s="36"/>
      <c r="G170" s="18"/>
      <c r="H170" s="18"/>
      <c r="I170" s="36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34">
        <v>36.0</v>
      </c>
      <c r="B171" s="36"/>
      <c r="C171" s="12"/>
      <c r="D171" s="18"/>
      <c r="E171" s="36"/>
      <c r="F171" s="36"/>
      <c r="G171" s="18"/>
      <c r="H171" s="18"/>
      <c r="I171" s="36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34">
        <v>37.0</v>
      </c>
      <c r="B172" s="36"/>
      <c r="C172" s="12"/>
      <c r="D172" s="18"/>
      <c r="E172" s="36"/>
      <c r="F172" s="36"/>
      <c r="G172" s="18"/>
      <c r="H172" s="18"/>
      <c r="I172" s="36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34">
        <v>38.0</v>
      </c>
      <c r="B173" s="36"/>
      <c r="C173" s="12"/>
      <c r="D173" s="18"/>
      <c r="E173" s="36"/>
      <c r="F173" s="36"/>
      <c r="G173" s="18"/>
      <c r="H173" s="18"/>
      <c r="I173" s="36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34">
        <v>39.0</v>
      </c>
      <c r="B174" s="36"/>
      <c r="C174" s="12"/>
      <c r="D174" s="18"/>
      <c r="E174" s="36"/>
      <c r="F174" s="36"/>
      <c r="G174" s="18"/>
      <c r="H174" s="18"/>
      <c r="I174" s="36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34" t="s">
        <v>755</v>
      </c>
      <c r="B175" s="36"/>
      <c r="C175" s="12"/>
      <c r="D175" s="18"/>
      <c r="E175" s="36"/>
      <c r="F175" s="36"/>
      <c r="G175" s="18"/>
      <c r="H175" s="18"/>
      <c r="I175" s="36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34" t="s">
        <v>756</v>
      </c>
      <c r="B176" s="36"/>
      <c r="C176" s="12"/>
      <c r="D176" s="18"/>
      <c r="E176" s="36"/>
      <c r="F176" s="36"/>
      <c r="G176" s="18"/>
      <c r="H176" s="18"/>
      <c r="I176" s="36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34" t="s">
        <v>757</v>
      </c>
      <c r="B177" s="36"/>
      <c r="C177" s="12"/>
      <c r="D177" s="18"/>
      <c r="E177" s="36"/>
      <c r="F177" s="36"/>
      <c r="G177" s="18"/>
      <c r="H177" s="18"/>
      <c r="I177" s="36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34" t="s">
        <v>758</v>
      </c>
      <c r="B178" s="36"/>
      <c r="C178" s="12"/>
      <c r="D178" s="18"/>
      <c r="E178" s="36"/>
      <c r="F178" s="36"/>
      <c r="G178" s="18"/>
      <c r="H178" s="18"/>
      <c r="I178" s="36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34" t="s">
        <v>759</v>
      </c>
      <c r="B179" s="36"/>
      <c r="C179" s="12"/>
      <c r="D179" s="18"/>
      <c r="E179" s="36"/>
      <c r="F179" s="36"/>
      <c r="G179" s="18"/>
      <c r="H179" s="18"/>
      <c r="I179" s="36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34" t="s">
        <v>760</v>
      </c>
      <c r="B180" s="36"/>
      <c r="C180" s="12"/>
      <c r="D180" s="18"/>
      <c r="E180" s="36"/>
      <c r="F180" s="36"/>
      <c r="G180" s="18"/>
      <c r="H180" s="18"/>
      <c r="I180" s="36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34" t="s">
        <v>761</v>
      </c>
      <c r="B181" s="36"/>
      <c r="C181" s="12"/>
      <c r="D181" s="18"/>
      <c r="E181" s="36"/>
      <c r="F181" s="36"/>
      <c r="G181" s="18"/>
      <c r="H181" s="18"/>
      <c r="I181" s="36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34" t="s">
        <v>762</v>
      </c>
      <c r="B182" s="36"/>
      <c r="C182" s="12"/>
      <c r="D182" s="18"/>
      <c r="E182" s="36"/>
      <c r="F182" s="36"/>
      <c r="G182" s="18"/>
      <c r="H182" s="18"/>
      <c r="I182" s="36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34" t="s">
        <v>763</v>
      </c>
      <c r="B183" s="36"/>
      <c r="C183" s="12"/>
      <c r="D183" s="18"/>
      <c r="E183" s="36"/>
      <c r="F183" s="36"/>
      <c r="G183" s="18"/>
      <c r="H183" s="18"/>
      <c r="I183" s="36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34" t="s">
        <v>764</v>
      </c>
      <c r="B184" s="36"/>
      <c r="C184" s="12"/>
      <c r="D184" s="18"/>
      <c r="E184" s="36"/>
      <c r="F184" s="36"/>
      <c r="G184" s="18"/>
      <c r="H184" s="18"/>
      <c r="I184" s="36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34" t="s">
        <v>765</v>
      </c>
      <c r="B185" s="36"/>
      <c r="C185" s="12"/>
      <c r="D185" s="18"/>
      <c r="E185" s="36"/>
      <c r="F185" s="36"/>
      <c r="G185" s="18"/>
      <c r="H185" s="18"/>
      <c r="I185" s="36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34" t="s">
        <v>766</v>
      </c>
      <c r="B186" s="36"/>
      <c r="C186" s="12"/>
      <c r="D186" s="18"/>
      <c r="E186" s="36"/>
      <c r="F186" s="36"/>
      <c r="G186" s="18"/>
      <c r="H186" s="18"/>
      <c r="I186" s="36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34" t="s">
        <v>767</v>
      </c>
      <c r="B187" s="36"/>
      <c r="C187" s="12"/>
      <c r="D187" s="18"/>
      <c r="E187" s="36"/>
      <c r="F187" s="36"/>
      <c r="G187" s="18"/>
      <c r="H187" s="18"/>
      <c r="I187" s="36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34" t="s">
        <v>768</v>
      </c>
      <c r="B188" s="36"/>
      <c r="C188" s="12"/>
      <c r="D188" s="18"/>
      <c r="E188" s="36"/>
      <c r="F188" s="36"/>
      <c r="G188" s="18"/>
      <c r="H188" s="18"/>
      <c r="I188" s="36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34" t="s">
        <v>769</v>
      </c>
      <c r="B189" s="36"/>
      <c r="C189" s="12"/>
      <c r="D189" s="18"/>
      <c r="E189" s="36"/>
      <c r="F189" s="36"/>
      <c r="G189" s="18"/>
      <c r="H189" s="18"/>
      <c r="I189" s="36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34">
        <v>301.0</v>
      </c>
      <c r="B190" s="36"/>
      <c r="C190" s="12"/>
      <c r="D190" s="18"/>
      <c r="E190" s="36"/>
      <c r="F190" s="36"/>
      <c r="G190" s="18"/>
      <c r="H190" s="18"/>
      <c r="I190" s="36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34" t="s">
        <v>770</v>
      </c>
      <c r="B191" s="36"/>
      <c r="C191" s="12"/>
      <c r="D191" s="18"/>
      <c r="E191" s="36"/>
      <c r="F191" s="36"/>
      <c r="G191" s="18"/>
      <c r="H191" s="18"/>
      <c r="I191" s="36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34" t="s">
        <v>771</v>
      </c>
      <c r="B192" s="36"/>
      <c r="C192" s="12"/>
      <c r="D192" s="18"/>
      <c r="E192" s="36"/>
      <c r="F192" s="36"/>
      <c r="G192" s="18"/>
      <c r="H192" s="18"/>
      <c r="I192" s="36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34" t="s">
        <v>772</v>
      </c>
      <c r="B193" s="36"/>
      <c r="C193" s="12"/>
      <c r="D193" s="18"/>
      <c r="E193" s="36"/>
      <c r="F193" s="36"/>
      <c r="G193" s="18"/>
      <c r="H193" s="18"/>
      <c r="I193" s="36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34" t="s">
        <v>773</v>
      </c>
      <c r="B194" s="36"/>
      <c r="C194" s="12"/>
      <c r="D194" s="18"/>
      <c r="E194" s="36"/>
      <c r="F194" s="36"/>
      <c r="G194" s="18"/>
      <c r="H194" s="18"/>
      <c r="I194" s="36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34" t="s">
        <v>774</v>
      </c>
      <c r="B195" s="36"/>
      <c r="C195" s="12"/>
      <c r="D195" s="18"/>
      <c r="E195" s="36"/>
      <c r="F195" s="36"/>
      <c r="G195" s="18"/>
      <c r="H195" s="18"/>
      <c r="I195" s="36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34" t="s">
        <v>775</v>
      </c>
      <c r="B196" s="36"/>
      <c r="C196" s="12"/>
      <c r="D196" s="18"/>
      <c r="E196" s="36"/>
      <c r="F196" s="36"/>
      <c r="G196" s="18"/>
      <c r="H196" s="18"/>
      <c r="I196" s="36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34" t="s">
        <v>776</v>
      </c>
      <c r="B197" s="36"/>
      <c r="C197" s="12"/>
      <c r="D197" s="18"/>
      <c r="E197" s="36"/>
      <c r="F197" s="36"/>
      <c r="G197" s="18"/>
      <c r="H197" s="18"/>
      <c r="I197" s="36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34" t="s">
        <v>777</v>
      </c>
      <c r="B198" s="36"/>
      <c r="C198" s="12"/>
      <c r="D198" s="18"/>
      <c r="E198" s="36"/>
      <c r="F198" s="36"/>
      <c r="G198" s="18"/>
      <c r="H198" s="18"/>
      <c r="I198" s="36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34" t="s">
        <v>778</v>
      </c>
      <c r="B199" s="36"/>
      <c r="C199" s="12"/>
      <c r="D199" s="18"/>
      <c r="E199" s="36"/>
      <c r="F199" s="36"/>
      <c r="G199" s="18"/>
      <c r="H199" s="18"/>
      <c r="I199" s="36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34" t="s">
        <v>779</v>
      </c>
      <c r="B200" s="36"/>
      <c r="C200" s="12"/>
      <c r="D200" s="18"/>
      <c r="E200" s="36"/>
      <c r="F200" s="36"/>
      <c r="G200" s="18"/>
      <c r="H200" s="18"/>
      <c r="I200" s="36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34" t="s">
        <v>780</v>
      </c>
      <c r="B201" s="36"/>
      <c r="C201" s="12"/>
      <c r="D201" s="18"/>
      <c r="E201" s="36"/>
      <c r="F201" s="36"/>
      <c r="G201" s="18"/>
      <c r="H201" s="18"/>
      <c r="I201" s="36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34" t="s">
        <v>781</v>
      </c>
      <c r="B202" s="36"/>
      <c r="C202" s="12"/>
      <c r="D202" s="18"/>
      <c r="E202" s="36"/>
      <c r="F202" s="36"/>
      <c r="G202" s="18"/>
      <c r="H202" s="18"/>
      <c r="I202" s="36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34" t="s">
        <v>782</v>
      </c>
      <c r="B203" s="36"/>
      <c r="C203" s="12"/>
      <c r="D203" s="18"/>
      <c r="E203" s="36"/>
      <c r="F203" s="36"/>
      <c r="G203" s="18"/>
      <c r="H203" s="18"/>
      <c r="I203" s="36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34" t="s">
        <v>783</v>
      </c>
      <c r="B204" s="36"/>
      <c r="C204" s="12"/>
      <c r="D204" s="18"/>
      <c r="E204" s="36"/>
      <c r="F204" s="36"/>
      <c r="G204" s="18"/>
      <c r="H204" s="18"/>
      <c r="I204" s="36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34" t="s">
        <v>784</v>
      </c>
      <c r="B205" s="36"/>
      <c r="C205" s="12"/>
      <c r="D205" s="18"/>
      <c r="E205" s="36"/>
      <c r="F205" s="36"/>
      <c r="G205" s="18"/>
      <c r="H205" s="18"/>
      <c r="I205" s="36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34" t="s">
        <v>785</v>
      </c>
      <c r="B206" s="36"/>
      <c r="C206" s="12"/>
      <c r="D206" s="18"/>
      <c r="E206" s="36"/>
      <c r="F206" s="36"/>
      <c r="G206" s="18"/>
      <c r="H206" s="18"/>
      <c r="I206" s="36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34" t="s">
        <v>786</v>
      </c>
      <c r="B207" s="36"/>
      <c r="C207" s="12"/>
      <c r="D207" s="18"/>
      <c r="E207" s="36"/>
      <c r="F207" s="36"/>
      <c r="G207" s="18"/>
      <c r="H207" s="18"/>
      <c r="I207" s="36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34" t="s">
        <v>787</v>
      </c>
      <c r="B208" s="36"/>
      <c r="C208" s="12"/>
      <c r="D208" s="18"/>
      <c r="E208" s="36"/>
      <c r="F208" s="36"/>
      <c r="G208" s="18"/>
      <c r="H208" s="18"/>
      <c r="I208" s="36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34" t="s">
        <v>788</v>
      </c>
      <c r="B209" s="36"/>
      <c r="C209" s="12"/>
      <c r="D209" s="18"/>
      <c r="E209" s="36"/>
      <c r="F209" s="36"/>
      <c r="G209" s="18"/>
      <c r="H209" s="18"/>
      <c r="I209" s="36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34" t="s">
        <v>789</v>
      </c>
      <c r="B210" s="36"/>
      <c r="C210" s="12"/>
      <c r="D210" s="18"/>
      <c r="E210" s="36"/>
      <c r="F210" s="36"/>
      <c r="G210" s="18"/>
      <c r="H210" s="18"/>
      <c r="I210" s="36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34" t="s">
        <v>790</v>
      </c>
      <c r="B211" s="36"/>
      <c r="C211" s="12"/>
      <c r="D211" s="18"/>
      <c r="E211" s="36"/>
      <c r="F211" s="36"/>
      <c r="G211" s="18"/>
      <c r="H211" s="18"/>
      <c r="I211" s="36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34" t="s">
        <v>791</v>
      </c>
      <c r="B212" s="36"/>
      <c r="C212" s="12"/>
      <c r="D212" s="18"/>
      <c r="E212" s="36"/>
      <c r="F212" s="36"/>
      <c r="G212" s="18"/>
      <c r="H212" s="18"/>
      <c r="I212" s="36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34" t="s">
        <v>792</v>
      </c>
      <c r="B213" s="36"/>
      <c r="C213" s="12"/>
      <c r="D213" s="18"/>
      <c r="E213" s="36"/>
      <c r="F213" s="36"/>
      <c r="G213" s="18"/>
      <c r="H213" s="18"/>
      <c r="I213" s="36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34" t="s">
        <v>793</v>
      </c>
      <c r="B214" s="36"/>
      <c r="C214" s="12"/>
      <c r="D214" s="18"/>
      <c r="E214" s="36"/>
      <c r="F214" s="36"/>
      <c r="G214" s="18"/>
      <c r="H214" s="18"/>
      <c r="I214" s="36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34" t="s">
        <v>794</v>
      </c>
      <c r="B215" s="36"/>
      <c r="C215" s="12"/>
      <c r="D215" s="18"/>
      <c r="E215" s="36"/>
      <c r="F215" s="36"/>
      <c r="G215" s="18"/>
      <c r="H215" s="18"/>
      <c r="I215" s="36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34" t="s">
        <v>795</v>
      </c>
      <c r="B216" s="36"/>
      <c r="C216" s="12"/>
      <c r="D216" s="18"/>
      <c r="E216" s="36"/>
      <c r="F216" s="36"/>
      <c r="G216" s="18"/>
      <c r="H216" s="18"/>
      <c r="I216" s="36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34" t="s">
        <v>796</v>
      </c>
      <c r="B217" s="36"/>
      <c r="C217" s="12"/>
      <c r="D217" s="18"/>
      <c r="E217" s="36"/>
      <c r="F217" s="36"/>
      <c r="G217" s="18"/>
      <c r="H217" s="18"/>
      <c r="I217" s="36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34" t="s">
        <v>797</v>
      </c>
      <c r="B218" s="36"/>
      <c r="C218" s="12"/>
      <c r="D218" s="18"/>
      <c r="E218" s="36"/>
      <c r="F218" s="36"/>
      <c r="G218" s="18"/>
      <c r="H218" s="18"/>
      <c r="I218" s="36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34" t="s">
        <v>798</v>
      </c>
      <c r="B219" s="36"/>
      <c r="C219" s="12"/>
      <c r="D219" s="18"/>
      <c r="E219" s="36"/>
      <c r="F219" s="36"/>
      <c r="G219" s="18"/>
      <c r="H219" s="18"/>
      <c r="I219" s="36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34" t="s">
        <v>799</v>
      </c>
      <c r="B220" s="36"/>
      <c r="C220" s="12"/>
      <c r="D220" s="18"/>
      <c r="E220" s="36"/>
      <c r="F220" s="36"/>
      <c r="G220" s="18"/>
      <c r="H220" s="18"/>
      <c r="I220" s="36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34" t="s">
        <v>800</v>
      </c>
      <c r="B221" s="36"/>
      <c r="C221" s="12"/>
      <c r="D221" s="18"/>
      <c r="E221" s="36"/>
      <c r="F221" s="36"/>
      <c r="G221" s="18"/>
      <c r="H221" s="18"/>
      <c r="I221" s="36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34" t="s">
        <v>801</v>
      </c>
      <c r="B222" s="36"/>
      <c r="C222" s="12"/>
      <c r="D222" s="18"/>
      <c r="E222" s="36"/>
      <c r="F222" s="36"/>
      <c r="G222" s="18"/>
      <c r="H222" s="18"/>
      <c r="I222" s="36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34" t="s">
        <v>802</v>
      </c>
      <c r="B223" s="36"/>
      <c r="C223" s="12"/>
      <c r="D223" s="18"/>
      <c r="E223" s="36"/>
      <c r="F223" s="36"/>
      <c r="G223" s="18"/>
      <c r="H223" s="18"/>
      <c r="I223" s="36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34" t="s">
        <v>803</v>
      </c>
      <c r="B224" s="36"/>
      <c r="C224" s="12"/>
      <c r="D224" s="18"/>
      <c r="E224" s="36"/>
      <c r="F224" s="36"/>
      <c r="G224" s="18"/>
      <c r="H224" s="18"/>
      <c r="I224" s="36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34" t="s">
        <v>804</v>
      </c>
      <c r="B225" s="36"/>
      <c r="C225" s="12"/>
      <c r="D225" s="18"/>
      <c r="E225" s="36"/>
      <c r="F225" s="36"/>
      <c r="G225" s="18"/>
      <c r="H225" s="18"/>
      <c r="I225" s="36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34" t="s">
        <v>805</v>
      </c>
      <c r="B226" s="36"/>
      <c r="C226" s="12"/>
      <c r="D226" s="18"/>
      <c r="E226" s="36"/>
      <c r="F226" s="36"/>
      <c r="G226" s="18"/>
      <c r="H226" s="18"/>
      <c r="I226" s="36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34" t="s">
        <v>806</v>
      </c>
      <c r="B227" s="36"/>
      <c r="C227" s="12"/>
      <c r="D227" s="18"/>
      <c r="E227" s="36"/>
      <c r="F227" s="36"/>
      <c r="G227" s="18"/>
      <c r="H227" s="18"/>
      <c r="I227" s="36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34" t="s">
        <v>807</v>
      </c>
      <c r="B228" s="36"/>
      <c r="C228" s="12"/>
      <c r="D228" s="18"/>
      <c r="E228" s="36"/>
      <c r="F228" s="36"/>
      <c r="G228" s="18"/>
      <c r="H228" s="18"/>
      <c r="I228" s="36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34" t="s">
        <v>808</v>
      </c>
      <c r="B229" s="36"/>
      <c r="C229" s="12"/>
      <c r="D229" s="18"/>
      <c r="E229" s="36"/>
      <c r="F229" s="36"/>
      <c r="G229" s="18"/>
      <c r="H229" s="18"/>
      <c r="I229" s="36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34">
        <v>411.0</v>
      </c>
      <c r="B230" s="36"/>
      <c r="C230" s="12"/>
      <c r="D230" s="18"/>
      <c r="E230" s="36"/>
      <c r="F230" s="36"/>
      <c r="G230" s="18"/>
      <c r="H230" s="18"/>
      <c r="I230" s="36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34">
        <v>41210.0</v>
      </c>
      <c r="B231" s="34"/>
      <c r="C231" s="12"/>
      <c r="D231" s="18"/>
      <c r="E231" s="36"/>
      <c r="F231" s="36"/>
      <c r="G231" s="18"/>
      <c r="H231" s="18"/>
      <c r="I231" s="36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34">
        <v>4122.0</v>
      </c>
      <c r="B232" s="36"/>
      <c r="C232" s="12"/>
      <c r="D232" s="18"/>
      <c r="E232" s="36"/>
      <c r="F232" s="36"/>
      <c r="G232" s="18"/>
      <c r="H232" s="18"/>
      <c r="I232" s="36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34">
        <v>4123.0</v>
      </c>
      <c r="B233" s="36"/>
      <c r="C233" s="12"/>
      <c r="D233" s="18"/>
      <c r="E233" s="36"/>
      <c r="F233" s="36"/>
      <c r="G233" s="18"/>
      <c r="H233" s="18"/>
      <c r="I233" s="36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34">
        <v>4124.0</v>
      </c>
      <c r="B234" s="36"/>
      <c r="C234" s="12"/>
      <c r="D234" s="18"/>
      <c r="E234" s="36"/>
      <c r="F234" s="36"/>
      <c r="G234" s="18"/>
      <c r="H234" s="18"/>
      <c r="I234" s="36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34">
        <v>4125.0</v>
      </c>
      <c r="B235" s="36"/>
      <c r="C235" s="12"/>
      <c r="D235" s="18"/>
      <c r="E235" s="36"/>
      <c r="F235" s="36"/>
      <c r="G235" s="18"/>
      <c r="H235" s="18"/>
      <c r="I235" s="36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34">
        <v>4131.0</v>
      </c>
      <c r="B236" s="36"/>
      <c r="C236" s="12"/>
      <c r="D236" s="18"/>
      <c r="E236" s="36"/>
      <c r="F236" s="36"/>
      <c r="G236" s="18"/>
      <c r="H236" s="18"/>
      <c r="I236" s="36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34">
        <v>4141.0</v>
      </c>
      <c r="B237" s="36"/>
      <c r="C237" s="12"/>
      <c r="D237" s="18"/>
      <c r="E237" s="36"/>
      <c r="F237" s="36"/>
      <c r="G237" s="18"/>
      <c r="H237" s="18"/>
      <c r="I237" s="36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34">
        <v>4142.0</v>
      </c>
      <c r="B238" s="36"/>
      <c r="C238" s="12"/>
      <c r="D238" s="18"/>
      <c r="E238" s="36"/>
      <c r="F238" s="36"/>
      <c r="G238" s="18"/>
      <c r="H238" s="18"/>
      <c r="I238" s="36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34">
        <v>4143.0</v>
      </c>
      <c r="B239" s="36"/>
      <c r="C239" s="12"/>
      <c r="D239" s="18"/>
      <c r="E239" s="36"/>
      <c r="F239" s="36"/>
      <c r="G239" s="18"/>
      <c r="H239" s="18"/>
      <c r="I239" s="36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34">
        <v>41511.0</v>
      </c>
      <c r="B240" s="36"/>
      <c r="C240" s="12"/>
      <c r="D240" s="18"/>
      <c r="E240" s="36"/>
      <c r="F240" s="36"/>
      <c r="G240" s="18"/>
      <c r="H240" s="18"/>
      <c r="I240" s="36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34">
        <v>41512.0</v>
      </c>
      <c r="B241" s="36"/>
      <c r="C241" s="12"/>
      <c r="D241" s="18"/>
      <c r="E241" s="36"/>
      <c r="F241" s="36"/>
      <c r="G241" s="18"/>
      <c r="H241" s="18"/>
      <c r="I241" s="36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34">
        <v>41521.0</v>
      </c>
      <c r="B242" s="36"/>
      <c r="C242" s="12"/>
      <c r="D242" s="18"/>
      <c r="E242" s="36"/>
      <c r="F242" s="36"/>
      <c r="G242" s="18"/>
      <c r="H242" s="18"/>
      <c r="I242" s="36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34">
        <v>4153.0</v>
      </c>
      <c r="B243" s="36"/>
      <c r="C243" s="12"/>
      <c r="D243" s="18"/>
      <c r="E243" s="36"/>
      <c r="F243" s="36"/>
      <c r="G243" s="18"/>
      <c r="H243" s="18"/>
      <c r="I243" s="36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34">
        <v>4154.0</v>
      </c>
      <c r="B244" s="36"/>
      <c r="C244" s="12"/>
      <c r="D244" s="18"/>
      <c r="E244" s="36"/>
      <c r="F244" s="36"/>
      <c r="G244" s="18"/>
      <c r="H244" s="18"/>
      <c r="I244" s="36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34">
        <v>41611.0</v>
      </c>
      <c r="B245" s="36"/>
      <c r="C245" s="12"/>
      <c r="D245" s="18"/>
      <c r="E245" s="36"/>
      <c r="F245" s="36"/>
      <c r="G245" s="18"/>
      <c r="H245" s="18"/>
      <c r="I245" s="36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34">
        <v>41612.0</v>
      </c>
      <c r="B246" s="36"/>
      <c r="C246" s="12"/>
      <c r="D246" s="18"/>
      <c r="E246" s="36"/>
      <c r="F246" s="36"/>
      <c r="G246" s="18"/>
      <c r="H246" s="18"/>
      <c r="I246" s="36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34">
        <v>41613.0</v>
      </c>
      <c r="B247" s="36"/>
      <c r="C247" s="12"/>
      <c r="D247" s="18"/>
      <c r="E247" s="36"/>
      <c r="F247" s="36"/>
      <c r="G247" s="18"/>
      <c r="H247" s="18"/>
      <c r="I247" s="36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34">
        <v>4162.0</v>
      </c>
      <c r="B248" s="36"/>
      <c r="C248" s="12"/>
      <c r="D248" s="18"/>
      <c r="E248" s="36"/>
      <c r="F248" s="36"/>
      <c r="G248" s="18"/>
      <c r="H248" s="18"/>
      <c r="I248" s="36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34">
        <v>4163.0</v>
      </c>
      <c r="B249" s="36"/>
      <c r="C249" s="12"/>
      <c r="D249" s="18"/>
      <c r="E249" s="36"/>
      <c r="F249" s="36"/>
      <c r="G249" s="18"/>
      <c r="H249" s="18"/>
      <c r="I249" s="36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34">
        <v>4164.0</v>
      </c>
      <c r="B250" s="36"/>
      <c r="C250" s="12"/>
      <c r="D250" s="18"/>
      <c r="E250" s="36"/>
      <c r="F250" s="36"/>
      <c r="G250" s="18"/>
      <c r="H250" s="18"/>
      <c r="I250" s="36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34">
        <v>4170.0</v>
      </c>
      <c r="B251" s="36"/>
      <c r="C251" s="12"/>
      <c r="D251" s="18"/>
      <c r="E251" s="36"/>
      <c r="F251" s="36"/>
      <c r="G251" s="18"/>
      <c r="H251" s="18"/>
      <c r="I251" s="36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34">
        <v>418.0</v>
      </c>
      <c r="B252" s="36"/>
      <c r="C252" s="12"/>
      <c r="D252" s="18"/>
      <c r="E252" s="36"/>
      <c r="F252" s="36"/>
      <c r="G252" s="18"/>
      <c r="H252" s="18"/>
      <c r="I252" s="36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34">
        <v>419.0</v>
      </c>
      <c r="B253" s="36"/>
      <c r="C253" s="12"/>
      <c r="D253" s="18"/>
      <c r="E253" s="36"/>
      <c r="F253" s="36"/>
      <c r="G253" s="18"/>
      <c r="H253" s="18"/>
      <c r="I253" s="36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34" t="s">
        <v>809</v>
      </c>
      <c r="B254" s="36"/>
      <c r="C254" s="12"/>
      <c r="D254" s="18"/>
      <c r="E254" s="36"/>
      <c r="F254" s="36"/>
      <c r="G254" s="18"/>
      <c r="H254" s="18"/>
      <c r="I254" s="36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34" t="s">
        <v>810</v>
      </c>
      <c r="B255" s="36"/>
      <c r="C255" s="12"/>
      <c r="D255" s="18"/>
      <c r="E255" s="36"/>
      <c r="F255" s="36"/>
      <c r="G255" s="18"/>
      <c r="H255" s="18"/>
      <c r="I255" s="36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34" t="s">
        <v>811</v>
      </c>
      <c r="B256" s="36"/>
      <c r="C256" s="12"/>
      <c r="D256" s="18"/>
      <c r="E256" s="36"/>
      <c r="F256" s="36"/>
      <c r="G256" s="18"/>
      <c r="H256" s="18"/>
      <c r="I256" s="36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34" t="s">
        <v>812</v>
      </c>
      <c r="B257" s="36"/>
      <c r="C257" s="12"/>
      <c r="D257" s="18"/>
      <c r="E257" s="36"/>
      <c r="F257" s="36"/>
      <c r="G257" s="18"/>
      <c r="H257" s="18"/>
      <c r="I257" s="36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34" t="s">
        <v>813</v>
      </c>
      <c r="B258" s="36"/>
      <c r="C258" s="12"/>
      <c r="D258" s="18"/>
      <c r="E258" s="36"/>
      <c r="F258" s="36"/>
      <c r="G258" s="18"/>
      <c r="H258" s="18"/>
      <c r="I258" s="36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34">
        <v>421.0</v>
      </c>
      <c r="B259" s="36"/>
      <c r="C259" s="12"/>
      <c r="D259" s="18"/>
      <c r="E259" s="36"/>
      <c r="F259" s="36"/>
      <c r="G259" s="18"/>
      <c r="H259" s="18"/>
      <c r="I259" s="36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34">
        <v>422.0</v>
      </c>
      <c r="B260" s="36"/>
      <c r="C260" s="12"/>
      <c r="D260" s="18"/>
      <c r="E260" s="36"/>
      <c r="F260" s="36"/>
      <c r="G260" s="18"/>
      <c r="H260" s="18"/>
      <c r="I260" s="36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34">
        <v>423.0</v>
      </c>
      <c r="B261" s="36"/>
      <c r="C261" s="12"/>
      <c r="D261" s="18"/>
      <c r="E261" s="36"/>
      <c r="F261" s="36"/>
      <c r="G261" s="18"/>
      <c r="H261" s="18"/>
      <c r="I261" s="36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34">
        <v>424.0</v>
      </c>
      <c r="B262" s="36"/>
      <c r="C262" s="12"/>
      <c r="D262" s="18"/>
      <c r="E262" s="36"/>
      <c r="F262" s="36"/>
      <c r="G262" s="18"/>
      <c r="H262" s="18"/>
      <c r="I262" s="36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34">
        <v>425.0</v>
      </c>
      <c r="B263" s="36"/>
      <c r="C263" s="12"/>
      <c r="D263" s="18"/>
      <c r="E263" s="36"/>
      <c r="F263" s="36"/>
      <c r="G263" s="18"/>
      <c r="H263" s="18"/>
      <c r="I263" s="36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34">
        <v>426.0</v>
      </c>
      <c r="B264" s="36"/>
      <c r="C264" s="12"/>
      <c r="D264" s="18"/>
      <c r="E264" s="36"/>
      <c r="F264" s="36"/>
      <c r="G264" s="18"/>
      <c r="H264" s="18"/>
      <c r="I264" s="36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34">
        <v>427.0</v>
      </c>
      <c r="B265" s="36"/>
      <c r="C265" s="12"/>
      <c r="D265" s="18"/>
      <c r="E265" s="36"/>
      <c r="F265" s="36"/>
      <c r="G265" s="18"/>
      <c r="H265" s="18"/>
      <c r="I265" s="36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34">
        <v>428.0</v>
      </c>
      <c r="B266" s="36"/>
      <c r="C266" s="12"/>
      <c r="D266" s="18"/>
      <c r="E266" s="36"/>
      <c r="F266" s="36"/>
      <c r="G266" s="18"/>
      <c r="H266" s="18"/>
      <c r="I266" s="36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34">
        <v>429.0</v>
      </c>
      <c r="B267" s="36"/>
      <c r="C267" s="12"/>
      <c r="D267" s="18"/>
      <c r="E267" s="36"/>
      <c r="F267" s="36"/>
      <c r="G267" s="18"/>
      <c r="H267" s="18"/>
      <c r="I267" s="36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34" t="s">
        <v>814</v>
      </c>
      <c r="B268" s="36"/>
      <c r="C268" s="12"/>
      <c r="D268" s="18"/>
      <c r="E268" s="36"/>
      <c r="F268" s="36"/>
      <c r="G268" s="18"/>
      <c r="H268" s="18"/>
      <c r="I268" s="36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34" t="s">
        <v>815</v>
      </c>
      <c r="B269" s="36"/>
      <c r="C269" s="12"/>
      <c r="D269" s="18"/>
      <c r="E269" s="36"/>
      <c r="F269" s="36"/>
      <c r="G269" s="18"/>
      <c r="H269" s="18"/>
      <c r="I269" s="36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34">
        <v>50.0</v>
      </c>
      <c r="B270" s="36"/>
      <c r="C270" s="12"/>
      <c r="D270" s="18"/>
      <c r="E270" s="36"/>
      <c r="F270" s="36"/>
      <c r="G270" s="18"/>
      <c r="H270" s="18"/>
      <c r="I270" s="36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34">
        <v>611.0</v>
      </c>
      <c r="B271" s="36"/>
      <c r="C271" s="12"/>
      <c r="D271" s="18"/>
      <c r="E271" s="36"/>
      <c r="F271" s="36"/>
      <c r="G271" s="18"/>
      <c r="H271" s="18"/>
      <c r="I271" s="36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34">
        <v>612.0</v>
      </c>
      <c r="B272" s="36"/>
      <c r="C272" s="12"/>
      <c r="D272" s="18"/>
      <c r="E272" s="36"/>
      <c r="F272" s="36"/>
      <c r="G272" s="18"/>
      <c r="H272" s="18"/>
      <c r="I272" s="36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34">
        <v>613.0</v>
      </c>
      <c r="B273" s="36"/>
      <c r="C273" s="12"/>
      <c r="D273" s="18"/>
      <c r="E273" s="36"/>
      <c r="F273" s="36"/>
      <c r="G273" s="18"/>
      <c r="H273" s="18"/>
      <c r="I273" s="36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34">
        <v>614.0</v>
      </c>
      <c r="B274" s="36"/>
      <c r="C274" s="12"/>
      <c r="D274" s="18"/>
      <c r="E274" s="36"/>
      <c r="F274" s="36"/>
      <c r="G274" s="18"/>
      <c r="H274" s="18"/>
      <c r="I274" s="36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34">
        <v>615.0</v>
      </c>
      <c r="B275" s="36"/>
      <c r="C275" s="12"/>
      <c r="D275" s="18"/>
      <c r="E275" s="36"/>
      <c r="F275" s="36"/>
      <c r="G275" s="18"/>
      <c r="H275" s="18"/>
      <c r="I275" s="36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34">
        <v>616.0</v>
      </c>
      <c r="B276" s="36"/>
      <c r="C276" s="12"/>
      <c r="D276" s="18"/>
      <c r="E276" s="36"/>
      <c r="F276" s="36"/>
      <c r="G276" s="18"/>
      <c r="H276" s="18"/>
      <c r="I276" s="36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34">
        <v>617.0</v>
      </c>
      <c r="B277" s="36"/>
      <c r="C277" s="12"/>
      <c r="D277" s="18"/>
      <c r="E277" s="36"/>
      <c r="F277" s="36"/>
      <c r="G277" s="18"/>
      <c r="H277" s="18"/>
      <c r="I277" s="36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34">
        <v>618.0</v>
      </c>
      <c r="B278" s="36"/>
      <c r="C278" s="12"/>
      <c r="D278" s="18"/>
      <c r="E278" s="36"/>
      <c r="F278" s="36"/>
      <c r="G278" s="18"/>
      <c r="H278" s="18"/>
      <c r="I278" s="36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34">
        <v>619.0</v>
      </c>
      <c r="B279" s="36"/>
      <c r="C279" s="12"/>
      <c r="D279" s="18"/>
      <c r="E279" s="36"/>
      <c r="F279" s="36"/>
      <c r="G279" s="18"/>
      <c r="H279" s="18"/>
      <c r="I279" s="36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34" t="s">
        <v>816</v>
      </c>
      <c r="B280" s="36"/>
      <c r="C280" s="12"/>
      <c r="D280" s="18"/>
      <c r="E280" s="36"/>
      <c r="F280" s="36"/>
      <c r="G280" s="18"/>
      <c r="H280" s="18"/>
      <c r="I280" s="36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34">
        <v>62.0</v>
      </c>
      <c r="B281" s="36"/>
      <c r="C281" s="12"/>
      <c r="D281" s="18"/>
      <c r="E281" s="36"/>
      <c r="F281" s="36"/>
      <c r="G281" s="18"/>
      <c r="H281" s="18"/>
      <c r="I281" s="36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34">
        <v>63.0</v>
      </c>
      <c r="B282" s="36"/>
      <c r="C282" s="12"/>
      <c r="D282" s="18"/>
      <c r="E282" s="36"/>
      <c r="F282" s="36"/>
      <c r="G282" s="18"/>
      <c r="H282" s="18"/>
      <c r="I282" s="36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34">
        <v>64.0</v>
      </c>
      <c r="B283" s="36"/>
      <c r="C283" s="12"/>
      <c r="D283" s="18"/>
      <c r="E283" s="36"/>
      <c r="F283" s="36"/>
      <c r="G283" s="18"/>
      <c r="H283" s="18"/>
      <c r="I283" s="36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34">
        <v>65.0</v>
      </c>
      <c r="B284" s="36"/>
      <c r="C284" s="12"/>
      <c r="D284" s="18"/>
      <c r="E284" s="36"/>
      <c r="F284" s="36"/>
      <c r="G284" s="18"/>
      <c r="H284" s="18"/>
      <c r="I284" s="36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34">
        <v>66.0</v>
      </c>
      <c r="B285" s="36"/>
      <c r="C285" s="12"/>
      <c r="D285" s="18"/>
      <c r="E285" s="36"/>
      <c r="F285" s="36"/>
      <c r="G285" s="18"/>
      <c r="H285" s="18"/>
      <c r="I285" s="36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34">
        <v>67.0</v>
      </c>
      <c r="B286" s="36"/>
      <c r="C286" s="12"/>
      <c r="D286" s="18"/>
      <c r="E286" s="36"/>
      <c r="F286" s="36"/>
      <c r="G286" s="18"/>
      <c r="H286" s="18"/>
      <c r="I286" s="36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34">
        <v>68.0</v>
      </c>
      <c r="B287" s="36"/>
      <c r="C287" s="12"/>
      <c r="D287" s="18"/>
      <c r="E287" s="36"/>
      <c r="F287" s="36"/>
      <c r="G287" s="18"/>
      <c r="H287" s="18"/>
      <c r="I287" s="36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34">
        <v>69.0</v>
      </c>
      <c r="B288" s="36"/>
      <c r="C288" s="12"/>
      <c r="D288" s="18"/>
      <c r="E288" s="36"/>
      <c r="F288" s="36"/>
      <c r="G288" s="18"/>
      <c r="H288" s="18"/>
      <c r="I288" s="36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34" t="s">
        <v>817</v>
      </c>
      <c r="B289" s="36"/>
      <c r="C289" s="12"/>
      <c r="D289" s="18"/>
      <c r="E289" s="36"/>
      <c r="F289" s="36"/>
      <c r="G289" s="18"/>
      <c r="H289" s="18"/>
      <c r="I289" s="36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34" t="s">
        <v>818</v>
      </c>
      <c r="B290" s="36"/>
      <c r="C290" s="12"/>
      <c r="D290" s="18"/>
      <c r="E290" s="36"/>
      <c r="F290" s="36"/>
      <c r="G290" s="18"/>
      <c r="H290" s="18"/>
      <c r="I290" s="36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34" t="s">
        <v>819</v>
      </c>
      <c r="B291" s="36"/>
      <c r="C291" s="12"/>
      <c r="D291" s="18"/>
      <c r="E291" s="36"/>
      <c r="F291" s="36"/>
      <c r="G291" s="18"/>
      <c r="H291" s="18"/>
      <c r="I291" s="36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34" t="s">
        <v>820</v>
      </c>
      <c r="B292" s="36"/>
      <c r="C292" s="12"/>
      <c r="D292" s="18"/>
      <c r="E292" s="36"/>
      <c r="F292" s="36"/>
      <c r="G292" s="18"/>
      <c r="H292" s="18"/>
      <c r="I292" s="36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34" t="s">
        <v>821</v>
      </c>
      <c r="B293" s="36"/>
      <c r="C293" s="12"/>
      <c r="D293" s="18"/>
      <c r="E293" s="36"/>
      <c r="F293" s="36"/>
      <c r="G293" s="18"/>
      <c r="H293" s="18"/>
      <c r="I293" s="36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34" t="s">
        <v>822</v>
      </c>
      <c r="B294" s="36"/>
      <c r="C294" s="12"/>
      <c r="D294" s="18"/>
      <c r="E294" s="36"/>
      <c r="F294" s="36"/>
      <c r="G294" s="18"/>
      <c r="H294" s="18"/>
      <c r="I294" s="36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34" t="s">
        <v>823</v>
      </c>
      <c r="B295" s="36"/>
      <c r="C295" s="12"/>
      <c r="D295" s="18"/>
      <c r="E295" s="36"/>
      <c r="F295" s="36"/>
      <c r="G295" s="18"/>
      <c r="H295" s="18"/>
      <c r="I295" s="36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34" t="s">
        <v>824</v>
      </c>
      <c r="B296" s="36"/>
      <c r="C296" s="12"/>
      <c r="D296" s="18"/>
      <c r="E296" s="36"/>
      <c r="F296" s="36"/>
      <c r="G296" s="18"/>
      <c r="H296" s="18"/>
      <c r="I296" s="36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39" t="s">
        <v>825</v>
      </c>
      <c r="B297" s="36"/>
      <c r="C297" s="12"/>
      <c r="D297" s="18"/>
      <c r="E297" s="36"/>
      <c r="F297" s="36"/>
      <c r="G297" s="18"/>
      <c r="H297" s="18"/>
      <c r="I297" s="36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39" t="s">
        <v>826</v>
      </c>
      <c r="B298" s="36"/>
      <c r="C298" s="12"/>
      <c r="D298" s="18"/>
      <c r="E298" s="36"/>
      <c r="F298" s="36"/>
      <c r="G298" s="18"/>
      <c r="H298" s="18"/>
      <c r="I298" s="36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39" t="s">
        <v>827</v>
      </c>
      <c r="B299" s="36"/>
      <c r="C299" s="12"/>
      <c r="D299" s="18"/>
      <c r="E299" s="36"/>
      <c r="F299" s="36"/>
      <c r="G299" s="18"/>
      <c r="H299" s="18"/>
      <c r="I299" s="36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34" t="s">
        <v>828</v>
      </c>
      <c r="B300" s="36"/>
      <c r="C300" s="12"/>
      <c r="D300" s="18"/>
      <c r="E300" s="36"/>
      <c r="F300" s="36"/>
      <c r="G300" s="18"/>
      <c r="H300" s="18"/>
      <c r="I300" s="36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34" t="s">
        <v>829</v>
      </c>
      <c r="B301" s="36"/>
      <c r="C301" s="12"/>
      <c r="D301" s="18"/>
      <c r="E301" s="36"/>
      <c r="F301" s="36"/>
      <c r="G301" s="18"/>
      <c r="H301" s="18"/>
      <c r="I301" s="36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34" t="s">
        <v>830</v>
      </c>
      <c r="B302" s="36"/>
      <c r="C302" s="12"/>
      <c r="D302" s="18"/>
      <c r="E302" s="36"/>
      <c r="F302" s="36"/>
      <c r="G302" s="18"/>
      <c r="H302" s="18"/>
      <c r="I302" s="36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34" t="s">
        <v>831</v>
      </c>
      <c r="B303" s="36"/>
      <c r="C303" s="12"/>
      <c r="D303" s="18"/>
      <c r="E303" s="36"/>
      <c r="F303" s="36"/>
      <c r="G303" s="18"/>
      <c r="H303" s="18"/>
      <c r="I303" s="36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34" t="s">
        <v>832</v>
      </c>
      <c r="B304" s="36"/>
      <c r="C304" s="12"/>
      <c r="D304" s="18"/>
      <c r="E304" s="36"/>
      <c r="F304" s="36"/>
      <c r="G304" s="18"/>
      <c r="H304" s="18"/>
      <c r="I304" s="36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34" t="s">
        <v>833</v>
      </c>
      <c r="B305" s="36"/>
      <c r="C305" s="12"/>
      <c r="D305" s="18"/>
      <c r="E305" s="36"/>
      <c r="F305" s="36"/>
      <c r="G305" s="18"/>
      <c r="H305" s="18"/>
      <c r="I305" s="36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34" t="s">
        <v>834</v>
      </c>
      <c r="B306" s="36"/>
      <c r="C306" s="12"/>
      <c r="D306" s="18"/>
      <c r="E306" s="36"/>
      <c r="F306" s="36"/>
      <c r="G306" s="18"/>
      <c r="H306" s="18"/>
      <c r="I306" s="36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34" t="s">
        <v>835</v>
      </c>
      <c r="B307" s="36"/>
      <c r="C307" s="12"/>
      <c r="D307" s="18"/>
      <c r="E307" s="36"/>
      <c r="F307" s="36"/>
      <c r="G307" s="18"/>
      <c r="H307" s="18"/>
      <c r="I307" s="36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34" t="s">
        <v>836</v>
      </c>
      <c r="B308" s="36"/>
      <c r="C308" s="12"/>
      <c r="D308" s="18"/>
      <c r="E308" s="36"/>
      <c r="F308" s="36"/>
      <c r="G308" s="18"/>
      <c r="H308" s="18"/>
      <c r="I308" s="36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34" t="s">
        <v>837</v>
      </c>
      <c r="B309" s="36"/>
      <c r="C309" s="12"/>
      <c r="D309" s="18"/>
      <c r="E309" s="36"/>
      <c r="F309" s="36"/>
      <c r="G309" s="18"/>
      <c r="H309" s="18"/>
      <c r="I309" s="36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34" t="s">
        <v>838</v>
      </c>
      <c r="B310" s="36"/>
      <c r="C310" s="12"/>
      <c r="D310" s="18"/>
      <c r="E310" s="36"/>
      <c r="F310" s="36"/>
      <c r="G310" s="18"/>
      <c r="H310" s="18"/>
      <c r="I310" s="36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34" t="s">
        <v>839</v>
      </c>
      <c r="B311" s="36"/>
      <c r="C311" s="12"/>
      <c r="D311" s="18"/>
      <c r="E311" s="36"/>
      <c r="F311" s="36"/>
      <c r="G311" s="18"/>
      <c r="H311" s="18"/>
      <c r="I311" s="36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34" t="s">
        <v>840</v>
      </c>
      <c r="B312" s="36"/>
      <c r="C312" s="12"/>
      <c r="D312" s="18"/>
      <c r="E312" s="36"/>
      <c r="F312" s="36"/>
      <c r="G312" s="18"/>
      <c r="H312" s="18"/>
      <c r="I312" s="36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34" t="s">
        <v>841</v>
      </c>
      <c r="B313" s="36"/>
      <c r="C313" s="12"/>
      <c r="D313" s="18"/>
      <c r="E313" s="36"/>
      <c r="F313" s="36"/>
      <c r="G313" s="18"/>
      <c r="H313" s="18"/>
      <c r="I313" s="36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34" t="s">
        <v>842</v>
      </c>
      <c r="B314" s="36"/>
      <c r="C314" s="12"/>
      <c r="D314" s="18"/>
      <c r="E314" s="36"/>
      <c r="F314" s="36"/>
      <c r="G314" s="18"/>
      <c r="H314" s="18"/>
      <c r="I314" s="36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34" t="s">
        <v>843</v>
      </c>
      <c r="B315" s="36"/>
      <c r="C315" s="12"/>
      <c r="D315" s="18"/>
      <c r="E315" s="36"/>
      <c r="F315" s="36"/>
      <c r="G315" s="18"/>
      <c r="H315" s="18"/>
      <c r="I315" s="36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34" t="s">
        <v>844</v>
      </c>
      <c r="B316" s="36"/>
      <c r="C316" s="12"/>
      <c r="D316" s="18"/>
      <c r="E316" s="36"/>
      <c r="F316" s="36"/>
      <c r="G316" s="18"/>
      <c r="H316" s="18"/>
      <c r="I316" s="36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34" t="s">
        <v>845</v>
      </c>
      <c r="B317" s="36"/>
      <c r="C317" s="12"/>
      <c r="D317" s="18"/>
      <c r="E317" s="36"/>
      <c r="F317" s="36"/>
      <c r="G317" s="18"/>
      <c r="H317" s="18"/>
      <c r="I317" s="36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34" t="s">
        <v>846</v>
      </c>
      <c r="B318" s="36"/>
      <c r="C318" s="12"/>
      <c r="D318" s="18"/>
      <c r="E318" s="36"/>
      <c r="F318" s="36"/>
      <c r="G318" s="18"/>
      <c r="H318" s="18"/>
      <c r="I318" s="36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34" t="s">
        <v>847</v>
      </c>
      <c r="B319" s="36"/>
      <c r="C319" s="12"/>
      <c r="D319" s="18"/>
      <c r="E319" s="36"/>
      <c r="F319" s="36"/>
      <c r="G319" s="18"/>
      <c r="H319" s="18"/>
      <c r="I319" s="36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34" t="s">
        <v>848</v>
      </c>
      <c r="B320" s="36"/>
      <c r="C320" s="12"/>
      <c r="D320" s="18"/>
      <c r="E320" s="36"/>
      <c r="F320" s="36"/>
      <c r="G320" s="18"/>
      <c r="H320" s="18"/>
      <c r="I320" s="36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34" t="s">
        <v>849</v>
      </c>
      <c r="B321" s="36"/>
      <c r="C321" s="12"/>
      <c r="D321" s="18"/>
      <c r="E321" s="36"/>
      <c r="F321" s="36"/>
      <c r="G321" s="18"/>
      <c r="H321" s="18"/>
      <c r="I321" s="36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34" t="s">
        <v>850</v>
      </c>
      <c r="B322" s="36"/>
      <c r="C322" s="12"/>
      <c r="D322" s="18"/>
      <c r="E322" s="36"/>
      <c r="F322" s="36"/>
      <c r="G322" s="18"/>
      <c r="H322" s="18"/>
      <c r="I322" s="36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34" t="s">
        <v>851</v>
      </c>
      <c r="B323" s="36"/>
      <c r="C323" s="12"/>
      <c r="D323" s="18"/>
      <c r="E323" s="36"/>
      <c r="F323" s="36"/>
      <c r="G323" s="18"/>
      <c r="H323" s="18"/>
      <c r="I323" s="36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34" t="s">
        <v>852</v>
      </c>
      <c r="B324" s="36"/>
      <c r="C324" s="12"/>
      <c r="D324" s="18"/>
      <c r="E324" s="36"/>
      <c r="F324" s="36"/>
      <c r="G324" s="18"/>
      <c r="H324" s="18"/>
      <c r="I324" s="36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34">
        <v>70.0</v>
      </c>
      <c r="B325" s="36"/>
      <c r="C325" s="12"/>
      <c r="D325" s="18"/>
      <c r="E325" s="36"/>
      <c r="F325" s="36"/>
      <c r="G325" s="18"/>
      <c r="H325" s="18"/>
      <c r="I325" s="36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34">
        <v>81.0</v>
      </c>
      <c r="B326" s="36"/>
      <c r="C326" s="12"/>
      <c r="D326" s="18"/>
      <c r="E326" s="36"/>
      <c r="F326" s="36"/>
      <c r="G326" s="18"/>
      <c r="H326" s="18"/>
      <c r="I326" s="36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34">
        <v>82.0</v>
      </c>
      <c r="B327" s="36"/>
      <c r="C327" s="12"/>
      <c r="D327" s="18"/>
      <c r="E327" s="36"/>
      <c r="F327" s="36"/>
      <c r="G327" s="18"/>
      <c r="H327" s="18"/>
      <c r="I327" s="36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34">
        <v>83.0</v>
      </c>
      <c r="B328" s="36"/>
      <c r="C328" s="12"/>
      <c r="D328" s="18"/>
      <c r="E328" s="36"/>
      <c r="F328" s="36"/>
      <c r="G328" s="18"/>
      <c r="H328" s="18"/>
      <c r="I328" s="36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34">
        <v>84.0</v>
      </c>
      <c r="B329" s="36"/>
      <c r="C329" s="12"/>
      <c r="D329" s="18"/>
      <c r="E329" s="36"/>
      <c r="F329" s="36"/>
      <c r="G329" s="18"/>
      <c r="H329" s="18"/>
      <c r="I329" s="36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34">
        <v>85.0</v>
      </c>
      <c r="B330" s="36"/>
      <c r="C330" s="12"/>
      <c r="D330" s="18"/>
      <c r="E330" s="36"/>
      <c r="F330" s="36"/>
      <c r="G330" s="18"/>
      <c r="H330" s="18"/>
      <c r="I330" s="36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34">
        <v>86.0</v>
      </c>
      <c r="B331" s="36"/>
      <c r="C331" s="12"/>
      <c r="D331" s="18"/>
      <c r="E331" s="36"/>
      <c r="F331" s="36"/>
      <c r="G331" s="18"/>
      <c r="H331" s="18"/>
      <c r="I331" s="36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34">
        <v>87.0</v>
      </c>
      <c r="B332" s="36"/>
      <c r="C332" s="12"/>
      <c r="D332" s="18"/>
      <c r="E332" s="36"/>
      <c r="F332" s="36"/>
      <c r="G332" s="18"/>
      <c r="H332" s="18"/>
      <c r="I332" s="36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34">
        <v>88.0</v>
      </c>
      <c r="B333" s="36"/>
      <c r="C333" s="12"/>
      <c r="D333" s="18"/>
      <c r="E333" s="36"/>
      <c r="F333" s="36"/>
      <c r="G333" s="18"/>
      <c r="H333" s="18"/>
      <c r="I333" s="36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34">
        <v>89.0</v>
      </c>
      <c r="B334" s="36"/>
      <c r="C334" s="12"/>
      <c r="D334" s="18"/>
      <c r="E334" s="36"/>
      <c r="F334" s="36"/>
      <c r="G334" s="18"/>
      <c r="H334" s="18"/>
      <c r="I334" s="36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34" t="s">
        <v>853</v>
      </c>
      <c r="B335" s="36"/>
      <c r="C335" s="12"/>
      <c r="D335" s="18"/>
      <c r="E335" s="36"/>
      <c r="F335" s="36"/>
      <c r="G335" s="18"/>
      <c r="H335" s="18"/>
      <c r="I335" s="36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34" t="s">
        <v>854</v>
      </c>
      <c r="B336" s="36"/>
      <c r="C336" s="12"/>
      <c r="D336" s="18"/>
      <c r="E336" s="36"/>
      <c r="F336" s="36"/>
      <c r="G336" s="18"/>
      <c r="H336" s="18"/>
      <c r="I336" s="36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34" t="s">
        <v>855</v>
      </c>
      <c r="B337" s="36"/>
      <c r="C337" s="12"/>
      <c r="D337" s="18"/>
      <c r="E337" s="36"/>
      <c r="F337" s="36"/>
      <c r="G337" s="18"/>
      <c r="H337" s="18"/>
      <c r="I337" s="36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34" t="s">
        <v>856</v>
      </c>
      <c r="B338" s="36"/>
      <c r="C338" s="12"/>
      <c r="D338" s="18"/>
      <c r="E338" s="36"/>
      <c r="F338" s="36"/>
      <c r="G338" s="18"/>
      <c r="H338" s="18"/>
      <c r="I338" s="36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34" t="s">
        <v>857</v>
      </c>
      <c r="B339" s="36"/>
      <c r="C339" s="12"/>
      <c r="D339" s="18"/>
      <c r="E339" s="36"/>
      <c r="F339" s="36"/>
      <c r="G339" s="18"/>
      <c r="H339" s="18"/>
      <c r="I339" s="36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34" t="s">
        <v>858</v>
      </c>
      <c r="B340" s="36"/>
      <c r="C340" s="12"/>
      <c r="D340" s="18"/>
      <c r="E340" s="36"/>
      <c r="F340" s="36"/>
      <c r="G340" s="18"/>
      <c r="H340" s="18"/>
      <c r="I340" s="36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34">
        <v>9111.0</v>
      </c>
      <c r="B341" s="36"/>
      <c r="C341" s="12"/>
      <c r="D341" s="18"/>
      <c r="E341" s="36"/>
      <c r="F341" s="36"/>
      <c r="G341" s="18"/>
      <c r="H341" s="18"/>
      <c r="I341" s="36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34">
        <v>9112.0</v>
      </c>
      <c r="B342" s="36"/>
      <c r="C342" s="12"/>
      <c r="D342" s="18"/>
      <c r="E342" s="36"/>
      <c r="F342" s="36"/>
      <c r="G342" s="18"/>
      <c r="H342" s="18"/>
      <c r="I342" s="36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34">
        <v>912.0</v>
      </c>
      <c r="B343" s="36"/>
      <c r="C343" s="12"/>
      <c r="D343" s="18"/>
      <c r="E343" s="36"/>
      <c r="F343" s="36"/>
      <c r="G343" s="18"/>
      <c r="H343" s="18"/>
      <c r="I343" s="36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34">
        <v>913.0</v>
      </c>
      <c r="B344" s="36"/>
      <c r="C344" s="12"/>
      <c r="D344" s="18"/>
      <c r="E344" s="36"/>
      <c r="F344" s="36"/>
      <c r="G344" s="18"/>
      <c r="H344" s="18"/>
      <c r="I344" s="36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34">
        <v>914.0</v>
      </c>
      <c r="B345" s="36"/>
      <c r="C345" s="12"/>
      <c r="D345" s="18"/>
      <c r="E345" s="36"/>
      <c r="F345" s="36"/>
      <c r="G345" s="18"/>
      <c r="H345" s="18"/>
      <c r="I345" s="36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34">
        <v>915.0</v>
      </c>
      <c r="B346" s="36"/>
      <c r="C346" s="12"/>
      <c r="D346" s="18"/>
      <c r="E346" s="36"/>
      <c r="F346" s="36"/>
      <c r="G346" s="18"/>
      <c r="H346" s="18"/>
      <c r="I346" s="36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34">
        <v>916.0</v>
      </c>
      <c r="B347" s="36"/>
      <c r="C347" s="12"/>
      <c r="D347" s="18"/>
      <c r="E347" s="36"/>
      <c r="F347" s="36"/>
      <c r="G347" s="18"/>
      <c r="H347" s="18"/>
      <c r="I347" s="36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34">
        <v>917.0</v>
      </c>
      <c r="B348" s="36"/>
      <c r="C348" s="12"/>
      <c r="D348" s="18"/>
      <c r="E348" s="36"/>
      <c r="F348" s="36"/>
      <c r="G348" s="18"/>
      <c r="H348" s="18"/>
      <c r="I348" s="36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34">
        <v>918.0</v>
      </c>
      <c r="B349" s="36"/>
      <c r="C349" s="12"/>
      <c r="D349" s="18"/>
      <c r="E349" s="36"/>
      <c r="F349" s="36"/>
      <c r="G349" s="18"/>
      <c r="H349" s="18"/>
      <c r="I349" s="36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34">
        <v>919.0</v>
      </c>
      <c r="B350" s="36"/>
      <c r="C350" s="12"/>
      <c r="D350" s="18"/>
      <c r="E350" s="36"/>
      <c r="F350" s="36"/>
      <c r="G350" s="18"/>
      <c r="H350" s="18"/>
      <c r="I350" s="36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34" t="s">
        <v>859</v>
      </c>
      <c r="B351" s="36"/>
      <c r="C351" s="12"/>
      <c r="D351" s="18"/>
      <c r="E351" s="36"/>
      <c r="F351" s="36"/>
      <c r="G351" s="18"/>
      <c r="H351" s="18"/>
      <c r="I351" s="36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34" t="s">
        <v>860</v>
      </c>
      <c r="B352" s="36"/>
      <c r="C352" s="12"/>
      <c r="D352" s="18"/>
      <c r="E352" s="36"/>
      <c r="F352" s="36"/>
      <c r="G352" s="18"/>
      <c r="H352" s="18"/>
      <c r="I352" s="36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34" t="s">
        <v>861</v>
      </c>
      <c r="B353" s="36"/>
      <c r="C353" s="12"/>
      <c r="D353" s="18"/>
      <c r="E353" s="36"/>
      <c r="F353" s="36"/>
      <c r="G353" s="18"/>
      <c r="H353" s="18"/>
      <c r="I353" s="36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34" t="s">
        <v>862</v>
      </c>
      <c r="B354" s="36"/>
      <c r="C354" s="12"/>
      <c r="D354" s="18"/>
      <c r="E354" s="36"/>
      <c r="F354" s="36"/>
      <c r="G354" s="18"/>
      <c r="H354" s="18"/>
      <c r="I354" s="36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34" t="s">
        <v>863</v>
      </c>
      <c r="B355" s="36"/>
      <c r="C355" s="12"/>
      <c r="D355" s="18"/>
      <c r="E355" s="36"/>
      <c r="F355" s="36"/>
      <c r="G355" s="18"/>
      <c r="H355" s="18"/>
      <c r="I355" s="36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34" t="s">
        <v>864</v>
      </c>
      <c r="B356" s="36"/>
      <c r="C356" s="12"/>
      <c r="D356" s="18"/>
      <c r="E356" s="36"/>
      <c r="F356" s="36"/>
      <c r="G356" s="18"/>
      <c r="H356" s="18"/>
      <c r="I356" s="36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34" t="s">
        <v>865</v>
      </c>
      <c r="B357" s="36"/>
      <c r="C357" s="12"/>
      <c r="D357" s="18"/>
      <c r="E357" s="36"/>
      <c r="F357" s="36"/>
      <c r="G357" s="18"/>
      <c r="H357" s="18"/>
      <c r="I357" s="36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34" t="s">
        <v>866</v>
      </c>
      <c r="B358" s="36"/>
      <c r="C358" s="12"/>
      <c r="D358" s="18"/>
      <c r="E358" s="36"/>
      <c r="F358" s="36"/>
      <c r="G358" s="18"/>
      <c r="H358" s="18"/>
      <c r="I358" s="36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34" t="s">
        <v>867</v>
      </c>
      <c r="B359" s="36"/>
      <c r="C359" s="12"/>
      <c r="D359" s="18"/>
      <c r="E359" s="36"/>
      <c r="F359" s="36"/>
      <c r="G359" s="18"/>
      <c r="H359" s="18"/>
      <c r="I359" s="36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34">
        <v>92.0</v>
      </c>
      <c r="B360" s="36"/>
      <c r="C360" s="12"/>
      <c r="D360" s="18"/>
      <c r="E360" s="36"/>
      <c r="F360" s="36"/>
      <c r="G360" s="18"/>
      <c r="H360" s="18"/>
      <c r="I360" s="36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34">
        <v>93.0</v>
      </c>
      <c r="B361" s="36"/>
      <c r="C361" s="12"/>
      <c r="D361" s="18"/>
      <c r="E361" s="36"/>
      <c r="F361" s="36"/>
      <c r="G361" s="18"/>
      <c r="H361" s="18"/>
      <c r="I361" s="36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34">
        <v>94.0</v>
      </c>
      <c r="B362" s="36"/>
      <c r="C362" s="12"/>
      <c r="D362" s="18"/>
      <c r="E362" s="36"/>
      <c r="F362" s="36"/>
      <c r="G362" s="18"/>
      <c r="H362" s="18"/>
      <c r="I362" s="36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34">
        <v>95.0</v>
      </c>
      <c r="B363" s="36"/>
      <c r="C363" s="12"/>
      <c r="D363" s="18"/>
      <c r="E363" s="36"/>
      <c r="F363" s="36"/>
      <c r="G363" s="18"/>
      <c r="H363" s="18"/>
      <c r="I363" s="36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34">
        <v>96.0</v>
      </c>
      <c r="B364" s="36"/>
      <c r="C364" s="12"/>
      <c r="D364" s="18"/>
      <c r="E364" s="36"/>
      <c r="F364" s="36"/>
      <c r="G364" s="18"/>
      <c r="H364" s="18"/>
      <c r="I364" s="36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34">
        <v>97.0</v>
      </c>
      <c r="B365" s="36"/>
      <c r="C365" s="12"/>
      <c r="D365" s="18"/>
      <c r="E365" s="36"/>
      <c r="F365" s="36"/>
      <c r="G365" s="18"/>
      <c r="H365" s="18"/>
      <c r="I365" s="36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34">
        <v>98.0</v>
      </c>
      <c r="B366" s="36"/>
      <c r="C366" s="12"/>
      <c r="D366" s="18"/>
      <c r="E366" s="36"/>
      <c r="F366" s="36"/>
      <c r="G366" s="18"/>
      <c r="H366" s="18"/>
      <c r="I366" s="36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34">
        <v>99.0</v>
      </c>
      <c r="B367" s="36"/>
      <c r="C367" s="12"/>
      <c r="D367" s="18"/>
      <c r="E367" s="36"/>
      <c r="F367" s="36"/>
      <c r="G367" s="18"/>
      <c r="H367" s="18"/>
      <c r="I367" s="36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34" t="s">
        <v>868</v>
      </c>
      <c r="B368" s="36"/>
      <c r="C368" s="12"/>
      <c r="D368" s="18"/>
      <c r="E368" s="36"/>
      <c r="F368" s="36"/>
      <c r="G368" s="18"/>
      <c r="H368" s="18"/>
      <c r="I368" s="36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34" t="s">
        <v>869</v>
      </c>
      <c r="B369" s="36"/>
      <c r="C369" s="12"/>
      <c r="D369" s="18"/>
      <c r="E369" s="36"/>
      <c r="F369" s="36"/>
      <c r="G369" s="18"/>
      <c r="H369" s="18"/>
      <c r="I369" s="36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34" t="s">
        <v>870</v>
      </c>
      <c r="B370" s="36"/>
      <c r="C370" s="12"/>
      <c r="D370" s="18"/>
      <c r="E370" s="36"/>
      <c r="F370" s="36"/>
      <c r="G370" s="18"/>
      <c r="H370" s="18"/>
      <c r="I370" s="36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36"/>
      <c r="B371" s="36"/>
      <c r="C371" s="12"/>
      <c r="D371" s="18"/>
      <c r="E371" s="36"/>
      <c r="F371" s="36"/>
      <c r="G371" s="18"/>
      <c r="H371" s="18"/>
      <c r="I371" s="36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36"/>
      <c r="B372" s="36"/>
      <c r="C372" s="12"/>
      <c r="D372" s="18"/>
      <c r="E372" s="36"/>
      <c r="F372" s="36"/>
      <c r="G372" s="18"/>
      <c r="H372" s="18"/>
      <c r="I372" s="36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36"/>
      <c r="B373" s="36"/>
      <c r="C373" s="12"/>
      <c r="D373" s="18"/>
      <c r="E373" s="36"/>
      <c r="F373" s="36"/>
      <c r="G373" s="18"/>
      <c r="H373" s="18"/>
      <c r="I373" s="36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36"/>
      <c r="B374" s="36"/>
      <c r="C374" s="12"/>
      <c r="D374" s="18"/>
      <c r="E374" s="36"/>
      <c r="F374" s="36"/>
      <c r="G374" s="18"/>
      <c r="H374" s="18"/>
      <c r="I374" s="36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36"/>
      <c r="B375" s="36"/>
      <c r="C375" s="12"/>
      <c r="D375" s="18"/>
      <c r="E375" s="36"/>
      <c r="F375" s="36"/>
      <c r="G375" s="18"/>
      <c r="H375" s="18"/>
      <c r="I375" s="36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36"/>
      <c r="B376" s="36"/>
      <c r="C376" s="12"/>
      <c r="D376" s="18"/>
      <c r="E376" s="36"/>
      <c r="F376" s="36"/>
      <c r="G376" s="18"/>
      <c r="H376" s="18"/>
      <c r="I376" s="36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36"/>
      <c r="B377" s="36"/>
      <c r="C377" s="12"/>
      <c r="D377" s="18"/>
      <c r="E377" s="36"/>
      <c r="F377" s="36"/>
      <c r="G377" s="18"/>
      <c r="H377" s="18"/>
      <c r="I377" s="36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36"/>
      <c r="B378" s="36"/>
      <c r="C378" s="12"/>
      <c r="D378" s="18"/>
      <c r="E378" s="36"/>
      <c r="F378" s="36"/>
      <c r="G378" s="18"/>
      <c r="H378" s="18"/>
      <c r="I378" s="36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36"/>
      <c r="B379" s="36"/>
      <c r="C379" s="12"/>
      <c r="D379" s="18"/>
      <c r="E379" s="36"/>
      <c r="F379" s="36"/>
      <c r="G379" s="18"/>
      <c r="H379" s="18"/>
      <c r="I379" s="36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36"/>
      <c r="B380" s="36"/>
      <c r="C380" s="12"/>
      <c r="D380" s="18"/>
      <c r="E380" s="36"/>
      <c r="F380" s="36"/>
      <c r="G380" s="18"/>
      <c r="H380" s="18"/>
      <c r="I380" s="36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36"/>
      <c r="B381" s="36"/>
      <c r="C381" s="12"/>
      <c r="D381" s="18"/>
      <c r="E381" s="36"/>
      <c r="F381" s="36"/>
      <c r="G381" s="18"/>
      <c r="H381" s="18"/>
      <c r="I381" s="36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36"/>
      <c r="B382" s="36"/>
      <c r="C382" s="12"/>
      <c r="D382" s="18"/>
      <c r="E382" s="36"/>
      <c r="F382" s="36"/>
      <c r="G382" s="18"/>
      <c r="H382" s="18"/>
      <c r="I382" s="36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36"/>
      <c r="B383" s="36"/>
      <c r="C383" s="12"/>
      <c r="D383" s="18"/>
      <c r="E383" s="36"/>
      <c r="F383" s="36"/>
      <c r="G383" s="18"/>
      <c r="H383" s="18"/>
      <c r="I383" s="36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36"/>
      <c r="B384" s="36"/>
      <c r="C384" s="12"/>
      <c r="D384" s="18"/>
      <c r="E384" s="36"/>
      <c r="F384" s="36"/>
      <c r="G384" s="18"/>
      <c r="H384" s="18"/>
      <c r="I384" s="36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36"/>
      <c r="B385" s="36"/>
      <c r="C385" s="12"/>
      <c r="D385" s="18"/>
      <c r="E385" s="36"/>
      <c r="F385" s="36"/>
      <c r="G385" s="18"/>
      <c r="H385" s="18"/>
      <c r="I385" s="36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36"/>
      <c r="B386" s="36"/>
      <c r="C386" s="12"/>
      <c r="D386" s="18"/>
      <c r="E386" s="36"/>
      <c r="F386" s="36"/>
      <c r="G386" s="18"/>
      <c r="H386" s="18"/>
      <c r="I386" s="36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36"/>
      <c r="B387" s="36"/>
      <c r="C387" s="12"/>
      <c r="D387" s="18"/>
      <c r="E387" s="36"/>
      <c r="F387" s="36"/>
      <c r="G387" s="18"/>
      <c r="H387" s="18"/>
      <c r="I387" s="36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36"/>
      <c r="B388" s="36"/>
      <c r="C388" s="12"/>
      <c r="D388" s="18"/>
      <c r="E388" s="36"/>
      <c r="F388" s="36"/>
      <c r="G388" s="18"/>
      <c r="H388" s="18"/>
      <c r="I388" s="36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36"/>
      <c r="B389" s="36"/>
      <c r="C389" s="12"/>
      <c r="D389" s="18"/>
      <c r="E389" s="36"/>
      <c r="F389" s="36"/>
      <c r="G389" s="18"/>
      <c r="H389" s="18"/>
      <c r="I389" s="36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36"/>
      <c r="B390" s="36"/>
      <c r="C390" s="12"/>
      <c r="D390" s="18"/>
      <c r="E390" s="36"/>
      <c r="F390" s="36"/>
      <c r="G390" s="18"/>
      <c r="H390" s="18"/>
      <c r="I390" s="36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36"/>
      <c r="B391" s="36"/>
      <c r="C391" s="12"/>
      <c r="D391" s="18"/>
      <c r="E391" s="36"/>
      <c r="F391" s="36"/>
      <c r="G391" s="18"/>
      <c r="H391" s="18"/>
      <c r="I391" s="36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36"/>
      <c r="B392" s="36"/>
      <c r="C392" s="12"/>
      <c r="D392" s="18"/>
      <c r="E392" s="36"/>
      <c r="F392" s="36"/>
      <c r="G392" s="18"/>
      <c r="H392" s="18"/>
      <c r="I392" s="36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36"/>
      <c r="B393" s="36"/>
      <c r="C393" s="12"/>
      <c r="D393" s="18"/>
      <c r="E393" s="36"/>
      <c r="F393" s="36"/>
      <c r="G393" s="18"/>
      <c r="H393" s="18"/>
      <c r="I393" s="36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36"/>
      <c r="B394" s="36"/>
      <c r="C394" s="12"/>
      <c r="D394" s="18"/>
      <c r="E394" s="36"/>
      <c r="F394" s="36"/>
      <c r="G394" s="18"/>
      <c r="H394" s="18"/>
      <c r="I394" s="36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36"/>
      <c r="B395" s="36"/>
      <c r="C395" s="12"/>
      <c r="D395" s="18"/>
      <c r="E395" s="36"/>
      <c r="F395" s="36"/>
      <c r="G395" s="18"/>
      <c r="H395" s="18"/>
      <c r="I395" s="36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36"/>
      <c r="B396" s="36"/>
      <c r="C396" s="12"/>
      <c r="D396" s="18"/>
      <c r="E396" s="36"/>
      <c r="F396" s="36"/>
      <c r="G396" s="18"/>
      <c r="H396" s="18"/>
      <c r="I396" s="36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36"/>
      <c r="B397" s="36"/>
      <c r="C397" s="12"/>
      <c r="D397" s="18"/>
      <c r="E397" s="36"/>
      <c r="F397" s="36"/>
      <c r="G397" s="18"/>
      <c r="H397" s="18"/>
      <c r="I397" s="36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36"/>
      <c r="B398" s="36"/>
      <c r="C398" s="12"/>
      <c r="D398" s="18"/>
      <c r="E398" s="36"/>
      <c r="F398" s="36"/>
      <c r="G398" s="18"/>
      <c r="H398" s="18"/>
      <c r="I398" s="36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36"/>
      <c r="B399" s="36"/>
      <c r="C399" s="12"/>
      <c r="D399" s="18"/>
      <c r="E399" s="36"/>
      <c r="F399" s="36"/>
      <c r="G399" s="18"/>
      <c r="H399" s="18"/>
      <c r="I399" s="36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36"/>
      <c r="B400" s="36"/>
      <c r="C400" s="12"/>
      <c r="D400" s="18"/>
      <c r="E400" s="36"/>
      <c r="F400" s="36"/>
      <c r="G400" s="18"/>
      <c r="H400" s="18"/>
      <c r="I400" s="36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36"/>
      <c r="B401" s="36"/>
      <c r="C401" s="12"/>
      <c r="D401" s="18"/>
      <c r="E401" s="36"/>
      <c r="F401" s="36"/>
      <c r="G401" s="18"/>
      <c r="H401" s="18"/>
      <c r="I401" s="36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36"/>
      <c r="B402" s="36"/>
      <c r="C402" s="12"/>
      <c r="D402" s="18"/>
      <c r="E402" s="36"/>
      <c r="F402" s="36"/>
      <c r="G402" s="18"/>
      <c r="H402" s="18"/>
      <c r="I402" s="36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36"/>
      <c r="B403" s="36"/>
      <c r="C403" s="12"/>
      <c r="D403" s="18"/>
      <c r="E403" s="36"/>
      <c r="F403" s="36"/>
      <c r="G403" s="18"/>
      <c r="H403" s="18"/>
      <c r="I403" s="36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36"/>
      <c r="B404" s="36"/>
      <c r="C404" s="12"/>
      <c r="D404" s="18"/>
      <c r="E404" s="36"/>
      <c r="F404" s="36"/>
      <c r="G404" s="18"/>
      <c r="H404" s="18"/>
      <c r="I404" s="36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36"/>
      <c r="B405" s="36"/>
      <c r="C405" s="12"/>
      <c r="D405" s="18"/>
      <c r="E405" s="36"/>
      <c r="F405" s="36"/>
      <c r="G405" s="18"/>
      <c r="H405" s="18"/>
      <c r="I405" s="36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36"/>
      <c r="B406" s="36"/>
      <c r="C406" s="12"/>
      <c r="D406" s="18"/>
      <c r="E406" s="36"/>
      <c r="F406" s="36"/>
      <c r="G406" s="18"/>
      <c r="H406" s="18"/>
      <c r="I406" s="36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36"/>
      <c r="B407" s="36"/>
      <c r="C407" s="12"/>
      <c r="D407" s="18"/>
      <c r="E407" s="36"/>
      <c r="F407" s="36"/>
      <c r="G407" s="18"/>
      <c r="H407" s="18"/>
      <c r="I407" s="36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36"/>
      <c r="B408" s="36"/>
      <c r="C408" s="12"/>
      <c r="D408" s="18"/>
      <c r="E408" s="36"/>
      <c r="F408" s="36"/>
      <c r="G408" s="18"/>
      <c r="H408" s="18"/>
      <c r="I408" s="36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36"/>
      <c r="B409" s="36"/>
      <c r="C409" s="12"/>
      <c r="D409" s="18"/>
      <c r="E409" s="36"/>
      <c r="F409" s="36"/>
      <c r="G409" s="18"/>
      <c r="H409" s="18"/>
      <c r="I409" s="36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36"/>
      <c r="B410" s="36"/>
      <c r="C410" s="12"/>
      <c r="D410" s="18"/>
      <c r="E410" s="36"/>
      <c r="F410" s="36"/>
      <c r="G410" s="18"/>
      <c r="H410" s="18"/>
      <c r="I410" s="36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36"/>
      <c r="B411" s="36"/>
      <c r="C411" s="12"/>
      <c r="D411" s="18"/>
      <c r="E411" s="36"/>
      <c r="F411" s="36"/>
      <c r="G411" s="18"/>
      <c r="H411" s="18"/>
      <c r="I411" s="36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36"/>
      <c r="B412" s="36"/>
      <c r="C412" s="12"/>
      <c r="D412" s="18"/>
      <c r="E412" s="36"/>
      <c r="F412" s="36"/>
      <c r="G412" s="18"/>
      <c r="H412" s="18"/>
      <c r="I412" s="36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36"/>
      <c r="B413" s="36"/>
      <c r="C413" s="12"/>
      <c r="D413" s="18"/>
      <c r="E413" s="36"/>
      <c r="F413" s="36"/>
      <c r="G413" s="18"/>
      <c r="H413" s="18"/>
      <c r="I413" s="36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36"/>
      <c r="B414" s="36"/>
      <c r="C414" s="12"/>
      <c r="D414" s="18"/>
      <c r="E414" s="36"/>
      <c r="F414" s="36"/>
      <c r="G414" s="18"/>
      <c r="H414" s="18"/>
      <c r="I414" s="36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36"/>
      <c r="B415" s="36"/>
      <c r="C415" s="12"/>
      <c r="D415" s="18"/>
      <c r="E415" s="36"/>
      <c r="F415" s="36"/>
      <c r="G415" s="18"/>
      <c r="H415" s="18"/>
      <c r="I415" s="36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36"/>
      <c r="B416" s="36"/>
      <c r="C416" s="12"/>
      <c r="D416" s="18"/>
      <c r="E416" s="36"/>
      <c r="F416" s="36"/>
      <c r="G416" s="18"/>
      <c r="H416" s="18"/>
      <c r="I416" s="36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36"/>
      <c r="B417" s="36"/>
      <c r="C417" s="12"/>
      <c r="D417" s="18"/>
      <c r="E417" s="36"/>
      <c r="F417" s="36"/>
      <c r="G417" s="18"/>
      <c r="H417" s="18"/>
      <c r="I417" s="36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36"/>
      <c r="B418" s="36"/>
      <c r="C418" s="12"/>
      <c r="D418" s="18"/>
      <c r="E418" s="36"/>
      <c r="F418" s="36"/>
      <c r="G418" s="18"/>
      <c r="H418" s="18"/>
      <c r="I418" s="36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36"/>
      <c r="B419" s="36"/>
      <c r="C419" s="12"/>
      <c r="D419" s="18"/>
      <c r="E419" s="36"/>
      <c r="F419" s="36"/>
      <c r="G419" s="18"/>
      <c r="H419" s="18"/>
      <c r="I419" s="36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36"/>
      <c r="B420" s="36"/>
      <c r="C420" s="12"/>
      <c r="D420" s="18"/>
      <c r="E420" s="36"/>
      <c r="F420" s="36"/>
      <c r="G420" s="18"/>
      <c r="H420" s="18"/>
      <c r="I420" s="36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36"/>
      <c r="B421" s="36"/>
      <c r="C421" s="12"/>
      <c r="D421" s="18"/>
      <c r="E421" s="36"/>
      <c r="F421" s="36"/>
      <c r="G421" s="18"/>
      <c r="H421" s="18"/>
      <c r="I421" s="36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36"/>
      <c r="B422" s="36"/>
      <c r="C422" s="12"/>
      <c r="D422" s="18"/>
      <c r="E422" s="36"/>
      <c r="F422" s="36"/>
      <c r="G422" s="18"/>
      <c r="H422" s="18"/>
      <c r="I422" s="36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36"/>
      <c r="B423" s="36"/>
      <c r="C423" s="12"/>
      <c r="D423" s="18"/>
      <c r="E423" s="36"/>
      <c r="F423" s="36"/>
      <c r="G423" s="18"/>
      <c r="H423" s="18"/>
      <c r="I423" s="36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36"/>
      <c r="B424" s="36"/>
      <c r="C424" s="12"/>
      <c r="D424" s="18"/>
      <c r="E424" s="36"/>
      <c r="F424" s="36"/>
      <c r="G424" s="18"/>
      <c r="H424" s="18"/>
      <c r="I424" s="36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36"/>
      <c r="B425" s="36"/>
      <c r="C425" s="12"/>
      <c r="D425" s="18"/>
      <c r="E425" s="36"/>
      <c r="F425" s="36"/>
      <c r="G425" s="18"/>
      <c r="H425" s="18"/>
      <c r="I425" s="36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36"/>
      <c r="B426" s="36"/>
      <c r="C426" s="12"/>
      <c r="D426" s="18"/>
      <c r="E426" s="36"/>
      <c r="F426" s="36"/>
      <c r="G426" s="18"/>
      <c r="H426" s="18"/>
      <c r="I426" s="36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36"/>
      <c r="B427" s="36"/>
      <c r="C427" s="12"/>
      <c r="D427" s="18"/>
      <c r="E427" s="36"/>
      <c r="F427" s="36"/>
      <c r="G427" s="18"/>
      <c r="H427" s="18"/>
      <c r="I427" s="36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36"/>
      <c r="B428" s="36"/>
      <c r="C428" s="12"/>
      <c r="D428" s="18"/>
      <c r="E428" s="36"/>
      <c r="F428" s="36"/>
      <c r="G428" s="18"/>
      <c r="H428" s="18"/>
      <c r="I428" s="36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36"/>
      <c r="B429" s="36"/>
      <c r="C429" s="12"/>
      <c r="D429" s="18"/>
      <c r="E429" s="36"/>
      <c r="F429" s="36"/>
      <c r="G429" s="18"/>
      <c r="H429" s="18"/>
      <c r="I429" s="36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36"/>
      <c r="B430" s="36"/>
      <c r="C430" s="12"/>
      <c r="D430" s="18"/>
      <c r="E430" s="36"/>
      <c r="F430" s="36"/>
      <c r="G430" s="18"/>
      <c r="H430" s="18"/>
      <c r="I430" s="36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36"/>
      <c r="B431" s="36"/>
      <c r="C431" s="12"/>
      <c r="D431" s="18"/>
      <c r="E431" s="36"/>
      <c r="F431" s="36"/>
      <c r="G431" s="18"/>
      <c r="H431" s="18"/>
      <c r="I431" s="36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36"/>
      <c r="B432" s="36"/>
      <c r="C432" s="12"/>
      <c r="D432" s="18"/>
      <c r="E432" s="36"/>
      <c r="F432" s="36"/>
      <c r="G432" s="18"/>
      <c r="H432" s="18"/>
      <c r="I432" s="36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36"/>
      <c r="B433" s="36"/>
      <c r="C433" s="12"/>
      <c r="D433" s="18"/>
      <c r="E433" s="36"/>
      <c r="F433" s="36"/>
      <c r="G433" s="18"/>
      <c r="H433" s="18"/>
      <c r="I433" s="36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36"/>
      <c r="B434" s="36"/>
      <c r="C434" s="12"/>
      <c r="D434" s="18"/>
      <c r="E434" s="36"/>
      <c r="F434" s="36"/>
      <c r="G434" s="18"/>
      <c r="H434" s="18"/>
      <c r="I434" s="36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36"/>
      <c r="B435" s="36"/>
      <c r="C435" s="12"/>
      <c r="D435" s="18"/>
      <c r="E435" s="36"/>
      <c r="F435" s="36"/>
      <c r="G435" s="18"/>
      <c r="H435" s="18"/>
      <c r="I435" s="36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36"/>
      <c r="B436" s="36"/>
      <c r="C436" s="12"/>
      <c r="D436" s="18"/>
      <c r="E436" s="36"/>
      <c r="F436" s="36"/>
      <c r="G436" s="18"/>
      <c r="H436" s="18"/>
      <c r="I436" s="36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36"/>
      <c r="B437" s="36"/>
      <c r="C437" s="12"/>
      <c r="D437" s="18"/>
      <c r="E437" s="36"/>
      <c r="F437" s="36"/>
      <c r="G437" s="18"/>
      <c r="H437" s="18"/>
      <c r="I437" s="36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36"/>
      <c r="B438" s="36"/>
      <c r="C438" s="12"/>
      <c r="D438" s="18"/>
      <c r="E438" s="36"/>
      <c r="F438" s="36"/>
      <c r="G438" s="18"/>
      <c r="H438" s="18"/>
      <c r="I438" s="36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36"/>
      <c r="B439" s="36"/>
      <c r="C439" s="12"/>
      <c r="D439" s="18"/>
      <c r="E439" s="36"/>
      <c r="F439" s="36"/>
      <c r="G439" s="18"/>
      <c r="H439" s="18"/>
      <c r="I439" s="36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36"/>
      <c r="B440" s="36"/>
      <c r="C440" s="12"/>
      <c r="D440" s="18"/>
      <c r="E440" s="36"/>
      <c r="F440" s="36"/>
      <c r="G440" s="18"/>
      <c r="H440" s="18"/>
      <c r="I440" s="36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36"/>
      <c r="B441" s="36"/>
      <c r="C441" s="12"/>
      <c r="D441" s="18"/>
      <c r="E441" s="36"/>
      <c r="F441" s="36"/>
      <c r="G441" s="18"/>
      <c r="H441" s="18"/>
      <c r="I441" s="36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36"/>
      <c r="B442" s="36"/>
      <c r="C442" s="12"/>
      <c r="D442" s="18"/>
      <c r="E442" s="36"/>
      <c r="F442" s="36"/>
      <c r="G442" s="18"/>
      <c r="H442" s="18"/>
      <c r="I442" s="36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36"/>
      <c r="B443" s="36"/>
      <c r="C443" s="12"/>
      <c r="D443" s="18"/>
      <c r="E443" s="36"/>
      <c r="F443" s="36"/>
      <c r="G443" s="18"/>
      <c r="H443" s="18"/>
      <c r="I443" s="36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36"/>
      <c r="B444" s="36"/>
      <c r="C444" s="12"/>
      <c r="D444" s="18"/>
      <c r="E444" s="36"/>
      <c r="F444" s="36"/>
      <c r="G444" s="18"/>
      <c r="H444" s="18"/>
      <c r="I444" s="36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36"/>
      <c r="B445" s="36"/>
      <c r="C445" s="12"/>
      <c r="D445" s="18"/>
      <c r="E445" s="36"/>
      <c r="F445" s="36"/>
      <c r="G445" s="18"/>
      <c r="H445" s="18"/>
      <c r="I445" s="36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36"/>
      <c r="B446" s="36"/>
      <c r="C446" s="12"/>
      <c r="D446" s="18"/>
      <c r="E446" s="36"/>
      <c r="F446" s="36"/>
      <c r="G446" s="18"/>
      <c r="H446" s="18"/>
      <c r="I446" s="36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36"/>
      <c r="B447" s="36"/>
      <c r="C447" s="12"/>
      <c r="D447" s="18"/>
      <c r="E447" s="36"/>
      <c r="F447" s="36"/>
      <c r="G447" s="18"/>
      <c r="H447" s="18"/>
      <c r="I447" s="36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36"/>
      <c r="B448" s="36"/>
      <c r="C448" s="12"/>
      <c r="D448" s="18"/>
      <c r="E448" s="36"/>
      <c r="F448" s="36"/>
      <c r="G448" s="18"/>
      <c r="H448" s="18"/>
      <c r="I448" s="36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36"/>
      <c r="B449" s="36"/>
      <c r="C449" s="12"/>
      <c r="D449" s="18"/>
      <c r="E449" s="36"/>
      <c r="F449" s="36"/>
      <c r="G449" s="18"/>
      <c r="H449" s="18"/>
      <c r="I449" s="36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36"/>
      <c r="B450" s="36"/>
      <c r="C450" s="12"/>
      <c r="D450" s="18"/>
      <c r="E450" s="36"/>
      <c r="F450" s="36"/>
      <c r="G450" s="18"/>
      <c r="H450" s="18"/>
      <c r="I450" s="36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36"/>
      <c r="B451" s="36"/>
      <c r="C451" s="12"/>
      <c r="D451" s="18"/>
      <c r="E451" s="36"/>
      <c r="F451" s="36"/>
      <c r="G451" s="18"/>
      <c r="H451" s="18"/>
      <c r="I451" s="36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36"/>
      <c r="B452" s="36"/>
      <c r="C452" s="12"/>
      <c r="D452" s="18"/>
      <c r="E452" s="36"/>
      <c r="F452" s="36"/>
      <c r="G452" s="18"/>
      <c r="H452" s="18"/>
      <c r="I452" s="36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36"/>
      <c r="B453" s="36"/>
      <c r="C453" s="12"/>
      <c r="D453" s="18"/>
      <c r="E453" s="36"/>
      <c r="F453" s="36"/>
      <c r="G453" s="18"/>
      <c r="H453" s="18"/>
      <c r="I453" s="36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36"/>
      <c r="B454" s="36"/>
      <c r="C454" s="12"/>
      <c r="D454" s="18"/>
      <c r="E454" s="36"/>
      <c r="F454" s="36"/>
      <c r="G454" s="18"/>
      <c r="H454" s="18"/>
      <c r="I454" s="36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36"/>
      <c r="B455" s="36"/>
      <c r="C455" s="12"/>
      <c r="D455" s="18"/>
      <c r="E455" s="36"/>
      <c r="F455" s="36"/>
      <c r="G455" s="18"/>
      <c r="H455" s="18"/>
      <c r="I455" s="36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36"/>
      <c r="B456" s="36"/>
      <c r="C456" s="12"/>
      <c r="D456" s="18"/>
      <c r="E456" s="36"/>
      <c r="F456" s="36"/>
      <c r="G456" s="18"/>
      <c r="H456" s="18"/>
      <c r="I456" s="36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36"/>
      <c r="B457" s="36"/>
      <c r="C457" s="12"/>
      <c r="D457" s="18"/>
      <c r="E457" s="36"/>
      <c r="F457" s="36"/>
      <c r="G457" s="18"/>
      <c r="H457" s="18"/>
      <c r="I457" s="36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36"/>
      <c r="B458" s="36"/>
      <c r="C458" s="12"/>
      <c r="D458" s="18"/>
      <c r="E458" s="36"/>
      <c r="F458" s="36"/>
      <c r="G458" s="18"/>
      <c r="H458" s="18"/>
      <c r="I458" s="36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36"/>
      <c r="B459" s="36"/>
      <c r="C459" s="12"/>
      <c r="D459" s="18"/>
      <c r="E459" s="36"/>
      <c r="F459" s="36"/>
      <c r="G459" s="18"/>
      <c r="H459" s="18"/>
      <c r="I459" s="36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36"/>
      <c r="B460" s="36"/>
      <c r="C460" s="12"/>
      <c r="D460" s="18"/>
      <c r="E460" s="36"/>
      <c r="F460" s="36"/>
      <c r="G460" s="18"/>
      <c r="H460" s="18"/>
      <c r="I460" s="36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36"/>
      <c r="B461" s="36"/>
      <c r="C461" s="12"/>
      <c r="D461" s="18"/>
      <c r="E461" s="36"/>
      <c r="F461" s="36"/>
      <c r="G461" s="18"/>
      <c r="H461" s="18"/>
      <c r="I461" s="36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36"/>
      <c r="B462" s="36"/>
      <c r="C462" s="12"/>
      <c r="D462" s="18"/>
      <c r="E462" s="36"/>
      <c r="F462" s="36"/>
      <c r="G462" s="18"/>
      <c r="H462" s="18"/>
      <c r="I462" s="36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36"/>
      <c r="B463" s="36"/>
      <c r="C463" s="12"/>
      <c r="D463" s="18"/>
      <c r="E463" s="36"/>
      <c r="F463" s="36"/>
      <c r="G463" s="18"/>
      <c r="H463" s="18"/>
      <c r="I463" s="36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36"/>
      <c r="B464" s="36"/>
      <c r="C464" s="12"/>
      <c r="D464" s="18"/>
      <c r="E464" s="36"/>
      <c r="F464" s="36"/>
      <c r="G464" s="18"/>
      <c r="H464" s="18"/>
      <c r="I464" s="36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36"/>
      <c r="B465" s="36"/>
      <c r="C465" s="12"/>
      <c r="D465" s="18"/>
      <c r="E465" s="36"/>
      <c r="F465" s="36"/>
      <c r="G465" s="18"/>
      <c r="H465" s="18"/>
      <c r="I465" s="36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36"/>
      <c r="B466" s="36"/>
      <c r="C466" s="12"/>
      <c r="D466" s="18"/>
      <c r="E466" s="36"/>
      <c r="F466" s="36"/>
      <c r="G466" s="18"/>
      <c r="H466" s="18"/>
      <c r="I466" s="36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36"/>
      <c r="B467" s="36"/>
      <c r="C467" s="12"/>
      <c r="D467" s="18"/>
      <c r="E467" s="36"/>
      <c r="F467" s="36"/>
      <c r="G467" s="18"/>
      <c r="H467" s="18"/>
      <c r="I467" s="36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36"/>
      <c r="B468" s="36"/>
      <c r="C468" s="12"/>
      <c r="D468" s="18"/>
      <c r="E468" s="36"/>
      <c r="F468" s="36"/>
      <c r="G468" s="18"/>
      <c r="H468" s="18"/>
      <c r="I468" s="36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36"/>
      <c r="B469" s="36"/>
      <c r="C469" s="12"/>
      <c r="D469" s="18"/>
      <c r="E469" s="36"/>
      <c r="F469" s="36"/>
      <c r="G469" s="18"/>
      <c r="H469" s="18"/>
      <c r="I469" s="36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36"/>
      <c r="B470" s="36"/>
      <c r="C470" s="12"/>
      <c r="D470" s="18"/>
      <c r="E470" s="36"/>
      <c r="F470" s="36"/>
      <c r="G470" s="18"/>
      <c r="H470" s="18"/>
      <c r="I470" s="36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36"/>
      <c r="B471" s="36"/>
      <c r="C471" s="12"/>
      <c r="D471" s="18"/>
      <c r="E471" s="36"/>
      <c r="F471" s="36"/>
      <c r="G471" s="18"/>
      <c r="H471" s="18"/>
      <c r="I471" s="36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36"/>
      <c r="B472" s="36"/>
      <c r="C472" s="12"/>
      <c r="D472" s="18"/>
      <c r="E472" s="36"/>
      <c r="F472" s="36"/>
      <c r="G472" s="18"/>
      <c r="H472" s="18"/>
      <c r="I472" s="36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36"/>
      <c r="B473" s="36"/>
      <c r="C473" s="12"/>
      <c r="D473" s="18"/>
      <c r="E473" s="36"/>
      <c r="F473" s="36"/>
      <c r="G473" s="18"/>
      <c r="H473" s="18"/>
      <c r="I473" s="36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36"/>
      <c r="B474" s="36"/>
      <c r="C474" s="12"/>
      <c r="D474" s="18"/>
      <c r="E474" s="36"/>
      <c r="F474" s="36"/>
      <c r="G474" s="18"/>
      <c r="H474" s="18"/>
      <c r="I474" s="36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36"/>
      <c r="B475" s="36"/>
      <c r="C475" s="12"/>
      <c r="D475" s="18"/>
      <c r="E475" s="36"/>
      <c r="F475" s="36"/>
      <c r="G475" s="18"/>
      <c r="H475" s="18"/>
      <c r="I475" s="36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36"/>
      <c r="B476" s="36"/>
      <c r="C476" s="12"/>
      <c r="D476" s="18"/>
      <c r="E476" s="36"/>
      <c r="F476" s="36"/>
      <c r="G476" s="18"/>
      <c r="H476" s="18"/>
      <c r="I476" s="36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36"/>
      <c r="B477" s="36"/>
      <c r="C477" s="12"/>
      <c r="D477" s="18"/>
      <c r="E477" s="36"/>
      <c r="F477" s="36"/>
      <c r="G477" s="18"/>
      <c r="H477" s="18"/>
      <c r="I477" s="36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36"/>
      <c r="B478" s="36"/>
      <c r="C478" s="12"/>
      <c r="D478" s="18"/>
      <c r="E478" s="36"/>
      <c r="F478" s="36"/>
      <c r="G478" s="18"/>
      <c r="H478" s="18"/>
      <c r="I478" s="36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36"/>
      <c r="B479" s="36"/>
      <c r="C479" s="12"/>
      <c r="D479" s="18"/>
      <c r="E479" s="36"/>
      <c r="F479" s="36"/>
      <c r="G479" s="18"/>
      <c r="H479" s="18"/>
      <c r="I479" s="36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36"/>
      <c r="B480" s="36"/>
      <c r="C480" s="12"/>
      <c r="D480" s="18"/>
      <c r="E480" s="36"/>
      <c r="F480" s="36"/>
      <c r="G480" s="18"/>
      <c r="H480" s="18"/>
      <c r="I480" s="36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36"/>
      <c r="B481" s="36"/>
      <c r="C481" s="12"/>
      <c r="D481" s="18"/>
      <c r="E481" s="36"/>
      <c r="F481" s="36"/>
      <c r="G481" s="18"/>
      <c r="H481" s="18"/>
      <c r="I481" s="36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36"/>
      <c r="B482" s="36"/>
      <c r="C482" s="12"/>
      <c r="D482" s="18"/>
      <c r="E482" s="36"/>
      <c r="F482" s="36"/>
      <c r="G482" s="18"/>
      <c r="H482" s="18"/>
      <c r="I482" s="36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36"/>
      <c r="B483" s="36"/>
      <c r="C483" s="12"/>
      <c r="D483" s="18"/>
      <c r="E483" s="36"/>
      <c r="F483" s="36"/>
      <c r="G483" s="18"/>
      <c r="H483" s="18"/>
      <c r="I483" s="36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36"/>
      <c r="B484" s="36"/>
      <c r="C484" s="12"/>
      <c r="D484" s="18"/>
      <c r="E484" s="36"/>
      <c r="F484" s="36"/>
      <c r="G484" s="18"/>
      <c r="H484" s="18"/>
      <c r="I484" s="36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36"/>
      <c r="B485" s="36"/>
      <c r="C485" s="12"/>
      <c r="D485" s="18"/>
      <c r="E485" s="36"/>
      <c r="F485" s="36"/>
      <c r="G485" s="18"/>
      <c r="H485" s="18"/>
      <c r="I485" s="36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36"/>
      <c r="B486" s="36"/>
      <c r="C486" s="12"/>
      <c r="D486" s="18"/>
      <c r="E486" s="36"/>
      <c r="F486" s="36"/>
      <c r="G486" s="18"/>
      <c r="H486" s="18"/>
      <c r="I486" s="36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36"/>
      <c r="B487" s="36"/>
      <c r="C487" s="12"/>
      <c r="D487" s="18"/>
      <c r="E487" s="36"/>
      <c r="F487" s="36"/>
      <c r="G487" s="18"/>
      <c r="H487" s="18"/>
      <c r="I487" s="36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36"/>
      <c r="B488" s="36"/>
      <c r="C488" s="12"/>
      <c r="D488" s="18"/>
      <c r="E488" s="36"/>
      <c r="F488" s="36"/>
      <c r="G488" s="18"/>
      <c r="H488" s="18"/>
      <c r="I488" s="36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36"/>
      <c r="B489" s="36"/>
      <c r="C489" s="12"/>
      <c r="D489" s="18"/>
      <c r="E489" s="36"/>
      <c r="F489" s="36"/>
      <c r="G489" s="18"/>
      <c r="H489" s="18"/>
      <c r="I489" s="36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36"/>
      <c r="B490" s="36"/>
      <c r="C490" s="12"/>
      <c r="D490" s="18"/>
      <c r="E490" s="36"/>
      <c r="F490" s="36"/>
      <c r="G490" s="18"/>
      <c r="H490" s="18"/>
      <c r="I490" s="36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36"/>
      <c r="B491" s="36"/>
      <c r="C491" s="12"/>
      <c r="D491" s="18"/>
      <c r="E491" s="36"/>
      <c r="F491" s="36"/>
      <c r="G491" s="18"/>
      <c r="H491" s="18"/>
      <c r="I491" s="36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36"/>
      <c r="B492" s="36"/>
      <c r="C492" s="12"/>
      <c r="D492" s="18"/>
      <c r="E492" s="36"/>
      <c r="F492" s="36"/>
      <c r="G492" s="18"/>
      <c r="H492" s="18"/>
      <c r="I492" s="36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36"/>
      <c r="B493" s="36"/>
      <c r="C493" s="12"/>
      <c r="D493" s="18"/>
      <c r="E493" s="36"/>
      <c r="F493" s="36"/>
      <c r="G493" s="18"/>
      <c r="H493" s="18"/>
      <c r="I493" s="36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36"/>
      <c r="B494" s="36"/>
      <c r="C494" s="12"/>
      <c r="D494" s="18"/>
      <c r="E494" s="36"/>
      <c r="F494" s="36"/>
      <c r="G494" s="18"/>
      <c r="H494" s="18"/>
      <c r="I494" s="36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36"/>
      <c r="B495" s="36"/>
      <c r="C495" s="12"/>
      <c r="D495" s="18"/>
      <c r="E495" s="36"/>
      <c r="F495" s="36"/>
      <c r="G495" s="18"/>
      <c r="H495" s="18"/>
      <c r="I495" s="36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36"/>
      <c r="B496" s="36"/>
      <c r="C496" s="12"/>
      <c r="D496" s="18"/>
      <c r="E496" s="36"/>
      <c r="F496" s="36"/>
      <c r="G496" s="18"/>
      <c r="H496" s="18"/>
      <c r="I496" s="36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36"/>
      <c r="B497" s="36"/>
      <c r="C497" s="12"/>
      <c r="D497" s="18"/>
      <c r="E497" s="36"/>
      <c r="F497" s="36"/>
      <c r="G497" s="18"/>
      <c r="H497" s="18"/>
      <c r="I497" s="36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36"/>
      <c r="B498" s="36"/>
      <c r="C498" s="12"/>
      <c r="D498" s="18"/>
      <c r="E498" s="36"/>
      <c r="F498" s="36"/>
      <c r="G498" s="18"/>
      <c r="H498" s="18"/>
      <c r="I498" s="36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36"/>
      <c r="B499" s="36"/>
      <c r="C499" s="12"/>
      <c r="D499" s="18"/>
      <c r="E499" s="36"/>
      <c r="F499" s="36"/>
      <c r="G499" s="18"/>
      <c r="H499" s="18"/>
      <c r="I499" s="36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36"/>
      <c r="B500" s="36"/>
      <c r="C500" s="12"/>
      <c r="D500" s="18"/>
      <c r="E500" s="36"/>
      <c r="F500" s="36"/>
      <c r="G500" s="18"/>
      <c r="H500" s="18"/>
      <c r="I500" s="36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36"/>
      <c r="B501" s="36"/>
      <c r="C501" s="12"/>
      <c r="D501" s="18"/>
      <c r="E501" s="36"/>
      <c r="F501" s="36"/>
      <c r="G501" s="18"/>
      <c r="H501" s="18"/>
      <c r="I501" s="36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36"/>
      <c r="B502" s="36"/>
      <c r="C502" s="12"/>
      <c r="D502" s="18"/>
      <c r="E502" s="36"/>
      <c r="F502" s="36"/>
      <c r="G502" s="18"/>
      <c r="H502" s="18"/>
      <c r="I502" s="36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36"/>
      <c r="B503" s="36"/>
      <c r="C503" s="12"/>
      <c r="D503" s="18"/>
      <c r="E503" s="36"/>
      <c r="F503" s="36"/>
      <c r="G503" s="18"/>
      <c r="H503" s="18"/>
      <c r="I503" s="36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36"/>
      <c r="B504" s="36"/>
      <c r="C504" s="12"/>
      <c r="D504" s="18"/>
      <c r="E504" s="36"/>
      <c r="F504" s="36"/>
      <c r="G504" s="18"/>
      <c r="H504" s="18"/>
      <c r="I504" s="36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36"/>
      <c r="B505" s="36"/>
      <c r="C505" s="12"/>
      <c r="D505" s="18"/>
      <c r="E505" s="36"/>
      <c r="F505" s="36"/>
      <c r="G505" s="18"/>
      <c r="H505" s="18"/>
      <c r="I505" s="36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36"/>
      <c r="B506" s="36"/>
      <c r="C506" s="12"/>
      <c r="D506" s="18"/>
      <c r="E506" s="36"/>
      <c r="F506" s="36"/>
      <c r="G506" s="18"/>
      <c r="H506" s="18"/>
      <c r="I506" s="36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36"/>
      <c r="B507" s="36"/>
      <c r="C507" s="12"/>
      <c r="D507" s="18"/>
      <c r="E507" s="36"/>
      <c r="F507" s="36"/>
      <c r="G507" s="18"/>
      <c r="H507" s="18"/>
      <c r="I507" s="36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36"/>
      <c r="B508" s="36"/>
      <c r="C508" s="12"/>
      <c r="D508" s="18"/>
      <c r="E508" s="36"/>
      <c r="F508" s="36"/>
      <c r="G508" s="18"/>
      <c r="H508" s="18"/>
      <c r="I508" s="36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36"/>
      <c r="B509" s="36"/>
      <c r="C509" s="12"/>
      <c r="D509" s="18"/>
      <c r="E509" s="36"/>
      <c r="F509" s="36"/>
      <c r="G509" s="18"/>
      <c r="H509" s="18"/>
      <c r="I509" s="36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36"/>
      <c r="B510" s="36"/>
      <c r="C510" s="12"/>
      <c r="D510" s="18"/>
      <c r="E510" s="36"/>
      <c r="F510" s="36"/>
      <c r="G510" s="18"/>
      <c r="H510" s="18"/>
      <c r="I510" s="36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36"/>
      <c r="B511" s="36"/>
      <c r="C511" s="12"/>
      <c r="D511" s="18"/>
      <c r="E511" s="36"/>
      <c r="F511" s="36"/>
      <c r="G511" s="18"/>
      <c r="H511" s="18"/>
      <c r="I511" s="36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36"/>
      <c r="B512" s="36"/>
      <c r="C512" s="12"/>
      <c r="D512" s="18"/>
      <c r="E512" s="36"/>
      <c r="F512" s="36"/>
      <c r="G512" s="18"/>
      <c r="H512" s="18"/>
      <c r="I512" s="36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36"/>
      <c r="B513" s="36"/>
      <c r="C513" s="12"/>
      <c r="D513" s="18"/>
      <c r="E513" s="36"/>
      <c r="F513" s="36"/>
      <c r="G513" s="18"/>
      <c r="H513" s="18"/>
      <c r="I513" s="36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36"/>
      <c r="B514" s="36"/>
      <c r="C514" s="12"/>
      <c r="D514" s="18"/>
      <c r="E514" s="36"/>
      <c r="F514" s="36"/>
      <c r="G514" s="18"/>
      <c r="H514" s="18"/>
      <c r="I514" s="36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36"/>
      <c r="B515" s="36"/>
      <c r="C515" s="12"/>
      <c r="D515" s="18"/>
      <c r="E515" s="36"/>
      <c r="F515" s="36"/>
      <c r="G515" s="18"/>
      <c r="H515" s="18"/>
      <c r="I515" s="36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36"/>
      <c r="B516" s="36"/>
      <c r="C516" s="12"/>
      <c r="D516" s="18"/>
      <c r="E516" s="36"/>
      <c r="F516" s="36"/>
      <c r="G516" s="18"/>
      <c r="H516" s="18"/>
      <c r="I516" s="36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36"/>
      <c r="B517" s="36"/>
      <c r="C517" s="12"/>
      <c r="D517" s="18"/>
      <c r="E517" s="36"/>
      <c r="F517" s="36"/>
      <c r="G517" s="18"/>
      <c r="H517" s="18"/>
      <c r="I517" s="36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36"/>
      <c r="B518" s="36"/>
      <c r="C518" s="12"/>
      <c r="D518" s="18"/>
      <c r="E518" s="36"/>
      <c r="F518" s="36"/>
      <c r="G518" s="18"/>
      <c r="H518" s="18"/>
      <c r="I518" s="36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36"/>
      <c r="B519" s="36"/>
      <c r="C519" s="12"/>
      <c r="D519" s="18"/>
      <c r="E519" s="36"/>
      <c r="F519" s="36"/>
      <c r="G519" s="18"/>
      <c r="H519" s="18"/>
      <c r="I519" s="36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36"/>
      <c r="B520" s="36"/>
      <c r="C520" s="12"/>
      <c r="D520" s="18"/>
      <c r="E520" s="36"/>
      <c r="F520" s="36"/>
      <c r="G520" s="18"/>
      <c r="H520" s="18"/>
      <c r="I520" s="36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36"/>
      <c r="B521" s="36"/>
      <c r="C521" s="12"/>
      <c r="D521" s="18"/>
      <c r="E521" s="36"/>
      <c r="F521" s="36"/>
      <c r="G521" s="18"/>
      <c r="H521" s="18"/>
      <c r="I521" s="36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36"/>
      <c r="B522" s="36"/>
      <c r="C522" s="12"/>
      <c r="D522" s="18"/>
      <c r="E522" s="36"/>
      <c r="F522" s="36"/>
      <c r="G522" s="18"/>
      <c r="H522" s="18"/>
      <c r="I522" s="36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36"/>
      <c r="B523" s="36"/>
      <c r="C523" s="12"/>
      <c r="D523" s="18"/>
      <c r="E523" s="36"/>
      <c r="F523" s="36"/>
      <c r="G523" s="18"/>
      <c r="H523" s="18"/>
      <c r="I523" s="36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36"/>
      <c r="B524" s="36"/>
      <c r="C524" s="12"/>
      <c r="D524" s="18"/>
      <c r="E524" s="36"/>
      <c r="F524" s="36"/>
      <c r="G524" s="18"/>
      <c r="H524" s="18"/>
      <c r="I524" s="36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36"/>
      <c r="B525" s="36"/>
      <c r="C525" s="12"/>
      <c r="D525" s="18"/>
      <c r="E525" s="36"/>
      <c r="F525" s="36"/>
      <c r="G525" s="18"/>
      <c r="H525" s="18"/>
      <c r="I525" s="36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36"/>
      <c r="B526" s="36"/>
      <c r="C526" s="12"/>
      <c r="D526" s="18"/>
      <c r="E526" s="36"/>
      <c r="F526" s="36"/>
      <c r="G526" s="18"/>
      <c r="H526" s="18"/>
      <c r="I526" s="36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36"/>
      <c r="B527" s="36"/>
      <c r="C527" s="12"/>
      <c r="D527" s="18"/>
      <c r="E527" s="36"/>
      <c r="F527" s="36"/>
      <c r="G527" s="18"/>
      <c r="H527" s="18"/>
      <c r="I527" s="36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36"/>
      <c r="B528" s="36"/>
      <c r="C528" s="12"/>
      <c r="D528" s="18"/>
      <c r="E528" s="36"/>
      <c r="F528" s="36"/>
      <c r="G528" s="18"/>
      <c r="H528" s="18"/>
      <c r="I528" s="36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36"/>
      <c r="B529" s="36"/>
      <c r="C529" s="12"/>
      <c r="D529" s="18"/>
      <c r="E529" s="36"/>
      <c r="F529" s="36"/>
      <c r="G529" s="18"/>
      <c r="H529" s="18"/>
      <c r="I529" s="36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36"/>
      <c r="B530" s="36"/>
      <c r="C530" s="12"/>
      <c r="D530" s="18"/>
      <c r="E530" s="36"/>
      <c r="F530" s="36"/>
      <c r="G530" s="18"/>
      <c r="H530" s="18"/>
      <c r="I530" s="36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36"/>
      <c r="B531" s="36"/>
      <c r="C531" s="12"/>
      <c r="D531" s="18"/>
      <c r="E531" s="36"/>
      <c r="F531" s="36"/>
      <c r="G531" s="18"/>
      <c r="H531" s="18"/>
      <c r="I531" s="36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36"/>
      <c r="B532" s="36"/>
      <c r="C532" s="12"/>
      <c r="D532" s="18"/>
      <c r="E532" s="36"/>
      <c r="F532" s="36"/>
      <c r="G532" s="18"/>
      <c r="H532" s="18"/>
      <c r="I532" s="36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36"/>
      <c r="B533" s="36"/>
      <c r="C533" s="12"/>
      <c r="D533" s="18"/>
      <c r="E533" s="36"/>
      <c r="F533" s="36"/>
      <c r="G533" s="18"/>
      <c r="H533" s="18"/>
      <c r="I533" s="36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36"/>
      <c r="B534" s="36"/>
      <c r="C534" s="12"/>
      <c r="D534" s="18"/>
      <c r="E534" s="36"/>
      <c r="F534" s="36"/>
      <c r="G534" s="18"/>
      <c r="H534" s="18"/>
      <c r="I534" s="36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36"/>
      <c r="B535" s="36"/>
      <c r="C535" s="12"/>
      <c r="D535" s="18"/>
      <c r="E535" s="36"/>
      <c r="F535" s="36"/>
      <c r="G535" s="18"/>
      <c r="H535" s="18"/>
      <c r="I535" s="36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36"/>
      <c r="B536" s="36"/>
      <c r="C536" s="12"/>
      <c r="D536" s="18"/>
      <c r="E536" s="36"/>
      <c r="F536" s="36"/>
      <c r="G536" s="18"/>
      <c r="H536" s="18"/>
      <c r="I536" s="36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36"/>
      <c r="B537" s="36"/>
      <c r="C537" s="12"/>
      <c r="D537" s="18"/>
      <c r="E537" s="36"/>
      <c r="F537" s="36"/>
      <c r="G537" s="18"/>
      <c r="H537" s="18"/>
      <c r="I537" s="36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36"/>
      <c r="B538" s="36"/>
      <c r="C538" s="12"/>
      <c r="D538" s="18"/>
      <c r="E538" s="36"/>
      <c r="F538" s="36"/>
      <c r="G538" s="18"/>
      <c r="H538" s="18"/>
      <c r="I538" s="36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36"/>
      <c r="B539" s="36"/>
      <c r="C539" s="12"/>
      <c r="D539" s="18"/>
      <c r="E539" s="36"/>
      <c r="F539" s="36"/>
      <c r="G539" s="18"/>
      <c r="H539" s="18"/>
      <c r="I539" s="36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36"/>
      <c r="B540" s="36"/>
      <c r="C540" s="12"/>
      <c r="D540" s="18"/>
      <c r="E540" s="36"/>
      <c r="F540" s="36"/>
      <c r="G540" s="18"/>
      <c r="H540" s="18"/>
      <c r="I540" s="36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36"/>
      <c r="B541" s="36"/>
      <c r="C541" s="12"/>
      <c r="D541" s="18"/>
      <c r="E541" s="36"/>
      <c r="F541" s="36"/>
      <c r="G541" s="18"/>
      <c r="H541" s="18"/>
      <c r="I541" s="36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36"/>
      <c r="B542" s="36"/>
      <c r="C542" s="12"/>
      <c r="D542" s="18"/>
      <c r="E542" s="36"/>
      <c r="F542" s="36"/>
      <c r="G542" s="18"/>
      <c r="H542" s="18"/>
      <c r="I542" s="36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36"/>
      <c r="B543" s="36"/>
      <c r="C543" s="12"/>
      <c r="D543" s="18"/>
      <c r="E543" s="36"/>
      <c r="F543" s="36"/>
      <c r="G543" s="18"/>
      <c r="H543" s="18"/>
      <c r="I543" s="36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36"/>
      <c r="B544" s="36"/>
      <c r="C544" s="12"/>
      <c r="D544" s="18"/>
      <c r="E544" s="36"/>
      <c r="F544" s="36"/>
      <c r="G544" s="18"/>
      <c r="H544" s="18"/>
      <c r="I544" s="36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36"/>
      <c r="B545" s="36"/>
      <c r="C545" s="12"/>
      <c r="D545" s="18"/>
      <c r="E545" s="36"/>
      <c r="F545" s="36"/>
      <c r="G545" s="18"/>
      <c r="H545" s="18"/>
      <c r="I545" s="36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36"/>
      <c r="B546" s="36"/>
      <c r="C546" s="12"/>
      <c r="D546" s="18"/>
      <c r="E546" s="36"/>
      <c r="F546" s="36"/>
      <c r="G546" s="18"/>
      <c r="H546" s="18"/>
      <c r="I546" s="36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36"/>
      <c r="B547" s="36"/>
      <c r="C547" s="12"/>
      <c r="D547" s="18"/>
      <c r="E547" s="36"/>
      <c r="F547" s="36"/>
      <c r="G547" s="18"/>
      <c r="H547" s="18"/>
      <c r="I547" s="36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36"/>
      <c r="B548" s="36"/>
      <c r="C548" s="12"/>
      <c r="D548" s="18"/>
      <c r="E548" s="36"/>
      <c r="F548" s="36"/>
      <c r="G548" s="18"/>
      <c r="H548" s="18"/>
      <c r="I548" s="36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36"/>
      <c r="B549" s="36"/>
      <c r="C549" s="12"/>
      <c r="D549" s="18"/>
      <c r="E549" s="36"/>
      <c r="F549" s="36"/>
      <c r="G549" s="18"/>
      <c r="H549" s="18"/>
      <c r="I549" s="36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36"/>
      <c r="B550" s="36"/>
      <c r="C550" s="12"/>
      <c r="D550" s="18"/>
      <c r="E550" s="36"/>
      <c r="F550" s="36"/>
      <c r="G550" s="18"/>
      <c r="H550" s="18"/>
      <c r="I550" s="36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36"/>
      <c r="B551" s="36"/>
      <c r="C551" s="12"/>
      <c r="D551" s="18"/>
      <c r="E551" s="36"/>
      <c r="F551" s="36"/>
      <c r="G551" s="18"/>
      <c r="H551" s="18"/>
      <c r="I551" s="36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36"/>
      <c r="B552" s="36"/>
      <c r="C552" s="12"/>
      <c r="D552" s="18"/>
      <c r="E552" s="36"/>
      <c r="F552" s="36"/>
      <c r="G552" s="18"/>
      <c r="H552" s="18"/>
      <c r="I552" s="36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36"/>
      <c r="B553" s="36"/>
      <c r="C553" s="12"/>
      <c r="D553" s="18"/>
      <c r="E553" s="36"/>
      <c r="F553" s="36"/>
      <c r="G553" s="18"/>
      <c r="H553" s="18"/>
      <c r="I553" s="36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36"/>
      <c r="B554" s="36"/>
      <c r="C554" s="12"/>
      <c r="D554" s="18"/>
      <c r="E554" s="36"/>
      <c r="F554" s="36"/>
      <c r="G554" s="18"/>
      <c r="H554" s="18"/>
      <c r="I554" s="36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36"/>
      <c r="B555" s="36"/>
      <c r="C555" s="12"/>
      <c r="D555" s="18"/>
      <c r="E555" s="36"/>
      <c r="F555" s="36"/>
      <c r="G555" s="18"/>
      <c r="H555" s="18"/>
      <c r="I555" s="36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36"/>
      <c r="B556" s="36"/>
      <c r="C556" s="12"/>
      <c r="D556" s="18"/>
      <c r="E556" s="36"/>
      <c r="F556" s="36"/>
      <c r="G556" s="18"/>
      <c r="H556" s="18"/>
      <c r="I556" s="36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36"/>
      <c r="B557" s="36"/>
      <c r="C557" s="12"/>
      <c r="D557" s="18"/>
      <c r="E557" s="36"/>
      <c r="F557" s="36"/>
      <c r="G557" s="18"/>
      <c r="H557" s="18"/>
      <c r="I557" s="36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36"/>
      <c r="B558" s="36"/>
      <c r="C558" s="12"/>
      <c r="D558" s="18"/>
      <c r="E558" s="36"/>
      <c r="F558" s="36"/>
      <c r="G558" s="18"/>
      <c r="H558" s="18"/>
      <c r="I558" s="36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36"/>
      <c r="B559" s="36"/>
      <c r="C559" s="12"/>
      <c r="D559" s="18"/>
      <c r="E559" s="36"/>
      <c r="F559" s="36"/>
      <c r="G559" s="18"/>
      <c r="H559" s="18"/>
      <c r="I559" s="36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36"/>
      <c r="B560" s="36"/>
      <c r="C560" s="12"/>
      <c r="D560" s="18"/>
      <c r="E560" s="36"/>
      <c r="F560" s="36"/>
      <c r="G560" s="18"/>
      <c r="H560" s="18"/>
      <c r="I560" s="36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36"/>
      <c r="B561" s="36"/>
      <c r="C561" s="12"/>
      <c r="D561" s="18"/>
      <c r="E561" s="36"/>
      <c r="F561" s="36"/>
      <c r="G561" s="18"/>
      <c r="H561" s="18"/>
      <c r="I561" s="36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36"/>
      <c r="B562" s="36"/>
      <c r="C562" s="12"/>
      <c r="D562" s="18"/>
      <c r="E562" s="36"/>
      <c r="F562" s="36"/>
      <c r="G562" s="18"/>
      <c r="H562" s="18"/>
      <c r="I562" s="36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36"/>
      <c r="B563" s="36"/>
      <c r="C563" s="12"/>
      <c r="D563" s="18"/>
      <c r="E563" s="36"/>
      <c r="F563" s="36"/>
      <c r="G563" s="18"/>
      <c r="H563" s="18"/>
      <c r="I563" s="36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36"/>
      <c r="B564" s="36"/>
      <c r="C564" s="12"/>
      <c r="D564" s="18"/>
      <c r="E564" s="36"/>
      <c r="F564" s="36"/>
      <c r="G564" s="18"/>
      <c r="H564" s="18"/>
      <c r="I564" s="36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36"/>
      <c r="B565" s="36"/>
      <c r="C565" s="12"/>
      <c r="D565" s="18"/>
      <c r="E565" s="36"/>
      <c r="F565" s="36"/>
      <c r="G565" s="18"/>
      <c r="H565" s="18"/>
      <c r="I565" s="36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36"/>
      <c r="B566" s="36"/>
      <c r="C566" s="12"/>
      <c r="D566" s="18"/>
      <c r="E566" s="36"/>
      <c r="F566" s="36"/>
      <c r="G566" s="18"/>
      <c r="H566" s="18"/>
      <c r="I566" s="36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36"/>
      <c r="B567" s="36"/>
      <c r="C567" s="12"/>
      <c r="D567" s="18"/>
      <c r="E567" s="36"/>
      <c r="F567" s="36"/>
      <c r="G567" s="18"/>
      <c r="H567" s="18"/>
      <c r="I567" s="36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36"/>
      <c r="B568" s="36"/>
      <c r="C568" s="12"/>
      <c r="D568" s="18"/>
      <c r="E568" s="36"/>
      <c r="F568" s="36"/>
      <c r="G568" s="18"/>
      <c r="H568" s="18"/>
      <c r="I568" s="36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36"/>
      <c r="B569" s="36"/>
      <c r="C569" s="12"/>
      <c r="D569" s="18"/>
      <c r="E569" s="36"/>
      <c r="F569" s="36"/>
      <c r="G569" s="18"/>
      <c r="H569" s="18"/>
      <c r="I569" s="36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36"/>
      <c r="B570" s="36"/>
      <c r="C570" s="12"/>
      <c r="D570" s="18"/>
      <c r="E570" s="36"/>
      <c r="F570" s="36"/>
      <c r="G570" s="18"/>
      <c r="H570" s="18"/>
      <c r="I570" s="36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36"/>
      <c r="B571" s="36"/>
      <c r="C571" s="12"/>
      <c r="D571" s="18"/>
      <c r="E571" s="36"/>
      <c r="F571" s="36"/>
      <c r="G571" s="18"/>
      <c r="H571" s="18"/>
      <c r="I571" s="36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36"/>
      <c r="B572" s="36"/>
      <c r="C572" s="12"/>
      <c r="D572" s="18"/>
      <c r="E572" s="36"/>
      <c r="F572" s="36"/>
      <c r="G572" s="18"/>
      <c r="H572" s="18"/>
      <c r="I572" s="36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36"/>
      <c r="B573" s="36"/>
      <c r="C573" s="12"/>
      <c r="D573" s="18"/>
      <c r="E573" s="36"/>
      <c r="F573" s="36"/>
      <c r="G573" s="18"/>
      <c r="H573" s="18"/>
      <c r="I573" s="36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36"/>
      <c r="B574" s="36"/>
      <c r="C574" s="12"/>
      <c r="D574" s="18"/>
      <c r="E574" s="36"/>
      <c r="F574" s="36"/>
      <c r="G574" s="18"/>
      <c r="H574" s="18"/>
      <c r="I574" s="36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36"/>
      <c r="B575" s="36"/>
      <c r="C575" s="12"/>
      <c r="D575" s="18"/>
      <c r="E575" s="36"/>
      <c r="F575" s="36"/>
      <c r="G575" s="18"/>
      <c r="H575" s="18"/>
      <c r="I575" s="36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36"/>
      <c r="B576" s="36"/>
      <c r="C576" s="12"/>
      <c r="D576" s="18"/>
      <c r="E576" s="36"/>
      <c r="F576" s="36"/>
      <c r="G576" s="18"/>
      <c r="H576" s="18"/>
      <c r="I576" s="36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36"/>
      <c r="B577" s="36"/>
      <c r="C577" s="12"/>
      <c r="D577" s="18"/>
      <c r="E577" s="36"/>
      <c r="F577" s="36"/>
      <c r="G577" s="18"/>
      <c r="H577" s="18"/>
      <c r="I577" s="36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36"/>
      <c r="B578" s="36"/>
      <c r="C578" s="12"/>
      <c r="D578" s="18"/>
      <c r="E578" s="36"/>
      <c r="F578" s="36"/>
      <c r="G578" s="18"/>
      <c r="H578" s="18"/>
      <c r="I578" s="36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36"/>
      <c r="B579" s="36"/>
      <c r="C579" s="12"/>
      <c r="D579" s="18"/>
      <c r="E579" s="36"/>
      <c r="F579" s="36"/>
      <c r="G579" s="18"/>
      <c r="H579" s="18"/>
      <c r="I579" s="36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36"/>
      <c r="B580" s="36"/>
      <c r="C580" s="12"/>
      <c r="D580" s="18"/>
      <c r="E580" s="36"/>
      <c r="F580" s="36"/>
      <c r="G580" s="18"/>
      <c r="H580" s="18"/>
      <c r="I580" s="36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36"/>
      <c r="B581" s="36"/>
      <c r="C581" s="12"/>
      <c r="D581" s="18"/>
      <c r="E581" s="36"/>
      <c r="F581" s="36"/>
      <c r="G581" s="18"/>
      <c r="H581" s="18"/>
      <c r="I581" s="36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36"/>
      <c r="B582" s="36"/>
      <c r="C582" s="12"/>
      <c r="D582" s="18"/>
      <c r="E582" s="36"/>
      <c r="F582" s="36"/>
      <c r="G582" s="18"/>
      <c r="H582" s="18"/>
      <c r="I582" s="36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36"/>
      <c r="B583" s="36"/>
      <c r="C583" s="12"/>
      <c r="D583" s="18"/>
      <c r="E583" s="36"/>
      <c r="F583" s="36"/>
      <c r="G583" s="18"/>
      <c r="H583" s="18"/>
      <c r="I583" s="36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36"/>
      <c r="B584" s="36"/>
      <c r="C584" s="12"/>
      <c r="D584" s="18"/>
      <c r="E584" s="36"/>
      <c r="F584" s="36"/>
      <c r="G584" s="18"/>
      <c r="H584" s="18"/>
      <c r="I584" s="36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36"/>
      <c r="B585" s="36"/>
      <c r="C585" s="12"/>
      <c r="D585" s="18"/>
      <c r="E585" s="36"/>
      <c r="F585" s="36"/>
      <c r="G585" s="18"/>
      <c r="H585" s="18"/>
      <c r="I585" s="36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36"/>
      <c r="B586" s="36"/>
      <c r="C586" s="12"/>
      <c r="D586" s="18"/>
      <c r="E586" s="36"/>
      <c r="F586" s="36"/>
      <c r="G586" s="18"/>
      <c r="H586" s="18"/>
      <c r="I586" s="36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36"/>
      <c r="B587" s="36"/>
      <c r="C587" s="12"/>
      <c r="D587" s="18"/>
      <c r="E587" s="36"/>
      <c r="F587" s="36"/>
      <c r="G587" s="18"/>
      <c r="H587" s="18"/>
      <c r="I587" s="36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36"/>
      <c r="B588" s="36"/>
      <c r="C588" s="12"/>
      <c r="D588" s="18"/>
      <c r="E588" s="36"/>
      <c r="F588" s="36"/>
      <c r="G588" s="18"/>
      <c r="H588" s="18"/>
      <c r="I588" s="36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36"/>
      <c r="B589" s="36"/>
      <c r="C589" s="12"/>
      <c r="D589" s="18"/>
      <c r="E589" s="36"/>
      <c r="F589" s="36"/>
      <c r="G589" s="18"/>
      <c r="H589" s="18"/>
      <c r="I589" s="36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36"/>
      <c r="B590" s="36"/>
      <c r="C590" s="12"/>
      <c r="D590" s="18"/>
      <c r="E590" s="36"/>
      <c r="F590" s="36"/>
      <c r="G590" s="18"/>
      <c r="H590" s="18"/>
      <c r="I590" s="36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36"/>
      <c r="B591" s="36"/>
      <c r="C591" s="12"/>
      <c r="D591" s="18"/>
      <c r="E591" s="36"/>
      <c r="F591" s="36"/>
      <c r="G591" s="18"/>
      <c r="H591" s="18"/>
      <c r="I591" s="36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36"/>
      <c r="B592" s="36"/>
      <c r="C592" s="12"/>
      <c r="D592" s="18"/>
      <c r="E592" s="36"/>
      <c r="F592" s="36"/>
      <c r="G592" s="18"/>
      <c r="H592" s="18"/>
      <c r="I592" s="36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36"/>
      <c r="B593" s="36"/>
      <c r="C593" s="12"/>
      <c r="D593" s="18"/>
      <c r="E593" s="36"/>
      <c r="F593" s="36"/>
      <c r="G593" s="18"/>
      <c r="H593" s="18"/>
      <c r="I593" s="36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36"/>
      <c r="B594" s="36"/>
      <c r="C594" s="12"/>
      <c r="D594" s="18"/>
      <c r="E594" s="36"/>
      <c r="F594" s="36"/>
      <c r="G594" s="18"/>
      <c r="H594" s="18"/>
      <c r="I594" s="36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36"/>
      <c r="B595" s="36"/>
      <c r="C595" s="12"/>
      <c r="D595" s="18"/>
      <c r="E595" s="36"/>
      <c r="F595" s="36"/>
      <c r="G595" s="18"/>
      <c r="H595" s="18"/>
      <c r="I595" s="36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36"/>
      <c r="B596" s="36"/>
      <c r="C596" s="12"/>
      <c r="D596" s="18"/>
      <c r="E596" s="36"/>
      <c r="F596" s="36"/>
      <c r="G596" s="18"/>
      <c r="H596" s="18"/>
      <c r="I596" s="36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36"/>
      <c r="B597" s="36"/>
      <c r="C597" s="12"/>
      <c r="D597" s="18"/>
      <c r="E597" s="36"/>
      <c r="F597" s="36"/>
      <c r="G597" s="18"/>
      <c r="H597" s="18"/>
      <c r="I597" s="36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36"/>
      <c r="B598" s="36"/>
      <c r="C598" s="12"/>
      <c r="D598" s="18"/>
      <c r="E598" s="36"/>
      <c r="F598" s="36"/>
      <c r="G598" s="18"/>
      <c r="H598" s="18"/>
      <c r="I598" s="36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36"/>
      <c r="B599" s="36"/>
      <c r="C599" s="12"/>
      <c r="D599" s="18"/>
      <c r="E599" s="36"/>
      <c r="F599" s="36"/>
      <c r="G599" s="18"/>
      <c r="H599" s="18"/>
      <c r="I599" s="36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36"/>
      <c r="B600" s="36"/>
      <c r="C600" s="12"/>
      <c r="D600" s="18"/>
      <c r="E600" s="36"/>
      <c r="F600" s="36"/>
      <c r="G600" s="18"/>
      <c r="H600" s="18"/>
      <c r="I600" s="36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36"/>
      <c r="B601" s="36"/>
      <c r="C601" s="12"/>
      <c r="D601" s="18"/>
      <c r="E601" s="36"/>
      <c r="F601" s="36"/>
      <c r="G601" s="18"/>
      <c r="H601" s="18"/>
      <c r="I601" s="36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36"/>
      <c r="B602" s="36"/>
      <c r="C602" s="12"/>
      <c r="D602" s="18"/>
      <c r="E602" s="36"/>
      <c r="F602" s="36"/>
      <c r="G602" s="18"/>
      <c r="H602" s="18"/>
      <c r="I602" s="36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36"/>
      <c r="B603" s="36"/>
      <c r="C603" s="12"/>
      <c r="D603" s="18"/>
      <c r="E603" s="36"/>
      <c r="F603" s="36"/>
      <c r="G603" s="18"/>
      <c r="H603" s="18"/>
      <c r="I603" s="36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36"/>
      <c r="B604" s="36"/>
      <c r="C604" s="12"/>
      <c r="D604" s="18"/>
      <c r="E604" s="36"/>
      <c r="F604" s="36"/>
      <c r="G604" s="18"/>
      <c r="H604" s="18"/>
      <c r="I604" s="36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36"/>
      <c r="B605" s="36"/>
      <c r="C605" s="12"/>
      <c r="D605" s="18"/>
      <c r="E605" s="36"/>
      <c r="F605" s="36"/>
      <c r="G605" s="18"/>
      <c r="H605" s="18"/>
      <c r="I605" s="36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36"/>
      <c r="B606" s="36"/>
      <c r="C606" s="12"/>
      <c r="D606" s="18"/>
      <c r="E606" s="36"/>
      <c r="F606" s="36"/>
      <c r="G606" s="18"/>
      <c r="H606" s="18"/>
      <c r="I606" s="36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36"/>
      <c r="B607" s="36"/>
      <c r="C607" s="12"/>
      <c r="D607" s="18"/>
      <c r="E607" s="36"/>
      <c r="F607" s="36"/>
      <c r="G607" s="18"/>
      <c r="H607" s="18"/>
      <c r="I607" s="36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36"/>
      <c r="B608" s="36"/>
      <c r="C608" s="12"/>
      <c r="D608" s="18"/>
      <c r="E608" s="36"/>
      <c r="F608" s="36"/>
      <c r="G608" s="18"/>
      <c r="H608" s="18"/>
      <c r="I608" s="36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36"/>
      <c r="B609" s="36"/>
      <c r="C609" s="12"/>
      <c r="D609" s="18"/>
      <c r="E609" s="36"/>
      <c r="F609" s="36"/>
      <c r="G609" s="18"/>
      <c r="H609" s="18"/>
      <c r="I609" s="36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36"/>
      <c r="B610" s="36"/>
      <c r="C610" s="12"/>
      <c r="D610" s="18"/>
      <c r="E610" s="36"/>
      <c r="F610" s="36"/>
      <c r="G610" s="18"/>
      <c r="H610" s="18"/>
      <c r="I610" s="36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36"/>
      <c r="B611" s="36"/>
      <c r="C611" s="12"/>
      <c r="D611" s="18"/>
      <c r="E611" s="36"/>
      <c r="F611" s="36"/>
      <c r="G611" s="18"/>
      <c r="H611" s="18"/>
      <c r="I611" s="36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36"/>
      <c r="B612" s="36"/>
      <c r="C612" s="12"/>
      <c r="D612" s="18"/>
      <c r="E612" s="36"/>
      <c r="F612" s="36"/>
      <c r="G612" s="18"/>
      <c r="H612" s="18"/>
      <c r="I612" s="36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36"/>
      <c r="B613" s="36"/>
      <c r="C613" s="12"/>
      <c r="D613" s="18"/>
      <c r="E613" s="36"/>
      <c r="F613" s="36"/>
      <c r="G613" s="18"/>
      <c r="H613" s="18"/>
      <c r="I613" s="36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36"/>
      <c r="B614" s="36"/>
      <c r="C614" s="12"/>
      <c r="D614" s="18"/>
      <c r="E614" s="36"/>
      <c r="F614" s="36"/>
      <c r="G614" s="18"/>
      <c r="H614" s="18"/>
      <c r="I614" s="36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36"/>
      <c r="B615" s="36"/>
      <c r="C615" s="12"/>
      <c r="D615" s="18"/>
      <c r="E615" s="36"/>
      <c r="F615" s="36"/>
      <c r="G615" s="18"/>
      <c r="H615" s="18"/>
      <c r="I615" s="36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36"/>
      <c r="B616" s="36"/>
      <c r="C616" s="12"/>
      <c r="D616" s="18"/>
      <c r="E616" s="36"/>
      <c r="F616" s="36"/>
      <c r="G616" s="18"/>
      <c r="H616" s="18"/>
      <c r="I616" s="36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36"/>
      <c r="B617" s="36"/>
      <c r="C617" s="12"/>
      <c r="D617" s="18"/>
      <c r="E617" s="36"/>
      <c r="F617" s="36"/>
      <c r="G617" s="18"/>
      <c r="H617" s="18"/>
      <c r="I617" s="36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36"/>
      <c r="B618" s="36"/>
      <c r="C618" s="12"/>
      <c r="D618" s="18"/>
      <c r="E618" s="36"/>
      <c r="F618" s="36"/>
      <c r="G618" s="18"/>
      <c r="H618" s="18"/>
      <c r="I618" s="36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36"/>
      <c r="B619" s="36"/>
      <c r="C619" s="12"/>
      <c r="D619" s="18"/>
      <c r="E619" s="36"/>
      <c r="F619" s="36"/>
      <c r="G619" s="18"/>
      <c r="H619" s="18"/>
      <c r="I619" s="36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36"/>
      <c r="B620" s="36"/>
      <c r="C620" s="12"/>
      <c r="D620" s="18"/>
      <c r="E620" s="36"/>
      <c r="F620" s="36"/>
      <c r="G620" s="18"/>
      <c r="H620" s="18"/>
      <c r="I620" s="36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36"/>
      <c r="B621" s="36"/>
      <c r="C621" s="12"/>
      <c r="D621" s="18"/>
      <c r="E621" s="36"/>
      <c r="F621" s="36"/>
      <c r="G621" s="18"/>
      <c r="H621" s="18"/>
      <c r="I621" s="36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36"/>
      <c r="B622" s="36"/>
      <c r="C622" s="12"/>
      <c r="D622" s="18"/>
      <c r="E622" s="36"/>
      <c r="F622" s="36"/>
      <c r="G622" s="18"/>
      <c r="H622" s="18"/>
      <c r="I622" s="36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36"/>
      <c r="B623" s="36"/>
      <c r="C623" s="12"/>
      <c r="D623" s="18"/>
      <c r="E623" s="36"/>
      <c r="F623" s="36"/>
      <c r="G623" s="18"/>
      <c r="H623" s="18"/>
      <c r="I623" s="36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36"/>
      <c r="B624" s="36"/>
      <c r="C624" s="12"/>
      <c r="D624" s="18"/>
      <c r="E624" s="36"/>
      <c r="F624" s="36"/>
      <c r="G624" s="18"/>
      <c r="H624" s="18"/>
      <c r="I624" s="36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36"/>
      <c r="B625" s="36"/>
      <c r="C625" s="12"/>
      <c r="D625" s="18"/>
      <c r="E625" s="36"/>
      <c r="F625" s="36"/>
      <c r="G625" s="18"/>
      <c r="H625" s="18"/>
      <c r="I625" s="36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36"/>
      <c r="B626" s="36"/>
      <c r="C626" s="12"/>
      <c r="D626" s="18"/>
      <c r="E626" s="36"/>
      <c r="F626" s="36"/>
      <c r="G626" s="18"/>
      <c r="H626" s="18"/>
      <c r="I626" s="36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36"/>
      <c r="B627" s="36"/>
      <c r="C627" s="12"/>
      <c r="D627" s="18"/>
      <c r="E627" s="36"/>
      <c r="F627" s="36"/>
      <c r="G627" s="18"/>
      <c r="H627" s="18"/>
      <c r="I627" s="36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36"/>
      <c r="B628" s="36"/>
      <c r="C628" s="12"/>
      <c r="D628" s="18"/>
      <c r="E628" s="36"/>
      <c r="F628" s="36"/>
      <c r="G628" s="18"/>
      <c r="H628" s="18"/>
      <c r="I628" s="36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36"/>
      <c r="B629" s="36"/>
      <c r="C629" s="12"/>
      <c r="D629" s="18"/>
      <c r="E629" s="36"/>
      <c r="F629" s="36"/>
      <c r="G629" s="18"/>
      <c r="H629" s="18"/>
      <c r="I629" s="36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36"/>
      <c r="B630" s="36"/>
      <c r="C630" s="12"/>
      <c r="D630" s="18"/>
      <c r="E630" s="36"/>
      <c r="F630" s="36"/>
      <c r="G630" s="18"/>
      <c r="H630" s="18"/>
      <c r="I630" s="36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36"/>
      <c r="B631" s="36"/>
      <c r="C631" s="12"/>
      <c r="D631" s="18"/>
      <c r="E631" s="36"/>
      <c r="F631" s="36"/>
      <c r="G631" s="18"/>
      <c r="H631" s="18"/>
      <c r="I631" s="36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36"/>
      <c r="B632" s="36"/>
      <c r="C632" s="12"/>
      <c r="D632" s="18"/>
      <c r="E632" s="36"/>
      <c r="F632" s="36"/>
      <c r="G632" s="18"/>
      <c r="H632" s="18"/>
      <c r="I632" s="36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36"/>
      <c r="B633" s="36"/>
      <c r="C633" s="12"/>
      <c r="D633" s="18"/>
      <c r="E633" s="36"/>
      <c r="F633" s="36"/>
      <c r="G633" s="18"/>
      <c r="H633" s="18"/>
      <c r="I633" s="36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36"/>
      <c r="B634" s="36"/>
      <c r="C634" s="12"/>
      <c r="D634" s="18"/>
      <c r="E634" s="36"/>
      <c r="F634" s="36"/>
      <c r="G634" s="18"/>
      <c r="H634" s="18"/>
      <c r="I634" s="36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36"/>
      <c r="B635" s="36"/>
      <c r="C635" s="12"/>
      <c r="D635" s="18"/>
      <c r="E635" s="36"/>
      <c r="F635" s="36"/>
      <c r="G635" s="18"/>
      <c r="H635" s="18"/>
      <c r="I635" s="36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36"/>
      <c r="B636" s="36"/>
      <c r="C636" s="12"/>
      <c r="D636" s="18"/>
      <c r="E636" s="36"/>
      <c r="F636" s="36"/>
      <c r="G636" s="18"/>
      <c r="H636" s="18"/>
      <c r="I636" s="36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36"/>
      <c r="B637" s="36"/>
      <c r="C637" s="12"/>
      <c r="D637" s="18"/>
      <c r="E637" s="36"/>
      <c r="F637" s="36"/>
      <c r="G637" s="18"/>
      <c r="H637" s="18"/>
      <c r="I637" s="36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36"/>
      <c r="B638" s="36"/>
      <c r="C638" s="12"/>
      <c r="D638" s="18"/>
      <c r="E638" s="36"/>
      <c r="F638" s="36"/>
      <c r="G638" s="18"/>
      <c r="H638" s="18"/>
      <c r="I638" s="36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36"/>
      <c r="B639" s="36"/>
      <c r="C639" s="12"/>
      <c r="D639" s="18"/>
      <c r="E639" s="36"/>
      <c r="F639" s="36"/>
      <c r="G639" s="18"/>
      <c r="H639" s="18"/>
      <c r="I639" s="36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36"/>
      <c r="B640" s="36"/>
      <c r="C640" s="12"/>
      <c r="D640" s="18"/>
      <c r="E640" s="36"/>
      <c r="F640" s="36"/>
      <c r="G640" s="18"/>
      <c r="H640" s="18"/>
      <c r="I640" s="36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36"/>
      <c r="B641" s="36"/>
      <c r="C641" s="12"/>
      <c r="D641" s="18"/>
      <c r="E641" s="36"/>
      <c r="F641" s="36"/>
      <c r="G641" s="18"/>
      <c r="H641" s="18"/>
      <c r="I641" s="36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36"/>
      <c r="B642" s="36"/>
      <c r="C642" s="12"/>
      <c r="D642" s="18"/>
      <c r="E642" s="36"/>
      <c r="F642" s="36"/>
      <c r="G642" s="18"/>
      <c r="H642" s="18"/>
      <c r="I642" s="36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36"/>
      <c r="B643" s="36"/>
      <c r="C643" s="12"/>
      <c r="D643" s="18"/>
      <c r="E643" s="36"/>
      <c r="F643" s="36"/>
      <c r="G643" s="18"/>
      <c r="H643" s="18"/>
      <c r="I643" s="36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36"/>
      <c r="B644" s="36"/>
      <c r="C644" s="12"/>
      <c r="D644" s="18"/>
      <c r="E644" s="36"/>
      <c r="F644" s="36"/>
      <c r="G644" s="18"/>
      <c r="H644" s="18"/>
      <c r="I644" s="36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36"/>
      <c r="B645" s="36"/>
      <c r="C645" s="12"/>
      <c r="D645" s="18"/>
      <c r="E645" s="36"/>
      <c r="F645" s="36"/>
      <c r="G645" s="18"/>
      <c r="H645" s="18"/>
      <c r="I645" s="36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36"/>
      <c r="B646" s="36"/>
      <c r="C646" s="12"/>
      <c r="D646" s="18"/>
      <c r="E646" s="36"/>
      <c r="F646" s="36"/>
      <c r="G646" s="18"/>
      <c r="H646" s="18"/>
      <c r="I646" s="36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36"/>
      <c r="B647" s="36"/>
      <c r="C647" s="12"/>
      <c r="D647" s="18"/>
      <c r="E647" s="36"/>
      <c r="F647" s="36"/>
      <c r="G647" s="18"/>
      <c r="H647" s="18"/>
      <c r="I647" s="36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36"/>
      <c r="B648" s="36"/>
      <c r="C648" s="12"/>
      <c r="D648" s="18"/>
      <c r="E648" s="36"/>
      <c r="F648" s="36"/>
      <c r="G648" s="18"/>
      <c r="H648" s="18"/>
      <c r="I648" s="36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36"/>
      <c r="B649" s="36"/>
      <c r="C649" s="12"/>
      <c r="D649" s="18"/>
      <c r="E649" s="36"/>
      <c r="F649" s="36"/>
      <c r="G649" s="18"/>
      <c r="H649" s="18"/>
      <c r="I649" s="36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36"/>
      <c r="B650" s="36"/>
      <c r="C650" s="12"/>
      <c r="D650" s="18"/>
      <c r="E650" s="36"/>
      <c r="F650" s="36"/>
      <c r="G650" s="18"/>
      <c r="H650" s="18"/>
      <c r="I650" s="36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36"/>
      <c r="B651" s="36"/>
      <c r="C651" s="12"/>
      <c r="D651" s="18"/>
      <c r="E651" s="36"/>
      <c r="F651" s="36"/>
      <c r="G651" s="18"/>
      <c r="H651" s="18"/>
      <c r="I651" s="36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36"/>
      <c r="B652" s="36"/>
      <c r="C652" s="12"/>
      <c r="D652" s="18"/>
      <c r="E652" s="36"/>
      <c r="F652" s="36"/>
      <c r="G652" s="18"/>
      <c r="H652" s="18"/>
      <c r="I652" s="36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36"/>
      <c r="B653" s="36"/>
      <c r="C653" s="12"/>
      <c r="D653" s="18"/>
      <c r="E653" s="36"/>
      <c r="F653" s="36"/>
      <c r="G653" s="18"/>
      <c r="H653" s="18"/>
      <c r="I653" s="36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36"/>
      <c r="B654" s="36"/>
      <c r="C654" s="12"/>
      <c r="D654" s="18"/>
      <c r="E654" s="36"/>
      <c r="F654" s="36"/>
      <c r="G654" s="18"/>
      <c r="H654" s="18"/>
      <c r="I654" s="36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36"/>
      <c r="B655" s="36"/>
      <c r="C655" s="12"/>
      <c r="D655" s="18"/>
      <c r="E655" s="36"/>
      <c r="F655" s="36"/>
      <c r="G655" s="18"/>
      <c r="H655" s="18"/>
      <c r="I655" s="36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36"/>
      <c r="B656" s="36"/>
      <c r="C656" s="12"/>
      <c r="D656" s="18"/>
      <c r="E656" s="36"/>
      <c r="F656" s="36"/>
      <c r="G656" s="18"/>
      <c r="H656" s="18"/>
      <c r="I656" s="36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36"/>
      <c r="B657" s="36"/>
      <c r="C657" s="12"/>
      <c r="D657" s="18"/>
      <c r="E657" s="36"/>
      <c r="F657" s="36"/>
      <c r="G657" s="18"/>
      <c r="H657" s="18"/>
      <c r="I657" s="36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36"/>
      <c r="B658" s="36"/>
      <c r="C658" s="12"/>
      <c r="D658" s="18"/>
      <c r="E658" s="36"/>
      <c r="F658" s="36"/>
      <c r="G658" s="18"/>
      <c r="H658" s="18"/>
      <c r="I658" s="36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36"/>
      <c r="B659" s="36"/>
      <c r="C659" s="12"/>
      <c r="D659" s="18"/>
      <c r="E659" s="36"/>
      <c r="F659" s="36"/>
      <c r="G659" s="18"/>
      <c r="H659" s="18"/>
      <c r="I659" s="36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36"/>
      <c r="B660" s="36"/>
      <c r="C660" s="12"/>
      <c r="D660" s="18"/>
      <c r="E660" s="36"/>
      <c r="F660" s="36"/>
      <c r="G660" s="18"/>
      <c r="H660" s="18"/>
      <c r="I660" s="36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36"/>
      <c r="B661" s="36"/>
      <c r="C661" s="12"/>
      <c r="D661" s="18"/>
      <c r="E661" s="36"/>
      <c r="F661" s="36"/>
      <c r="G661" s="18"/>
      <c r="H661" s="18"/>
      <c r="I661" s="36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36"/>
      <c r="B662" s="36"/>
      <c r="C662" s="12"/>
      <c r="D662" s="18"/>
      <c r="E662" s="36"/>
      <c r="F662" s="36"/>
      <c r="G662" s="18"/>
      <c r="H662" s="18"/>
      <c r="I662" s="36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36"/>
      <c r="B663" s="36"/>
      <c r="C663" s="12"/>
      <c r="D663" s="18"/>
      <c r="E663" s="36"/>
      <c r="F663" s="36"/>
      <c r="G663" s="18"/>
      <c r="H663" s="18"/>
      <c r="I663" s="36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36"/>
      <c r="B664" s="36"/>
      <c r="C664" s="12"/>
      <c r="D664" s="18"/>
      <c r="E664" s="36"/>
      <c r="F664" s="36"/>
      <c r="G664" s="18"/>
      <c r="H664" s="18"/>
      <c r="I664" s="36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36"/>
      <c r="B665" s="36"/>
      <c r="C665" s="12"/>
      <c r="D665" s="18"/>
      <c r="E665" s="36"/>
      <c r="F665" s="36"/>
      <c r="G665" s="18"/>
      <c r="H665" s="18"/>
      <c r="I665" s="36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36"/>
      <c r="B666" s="36"/>
      <c r="C666" s="12"/>
      <c r="D666" s="18"/>
      <c r="E666" s="36"/>
      <c r="F666" s="36"/>
      <c r="G666" s="18"/>
      <c r="H666" s="18"/>
      <c r="I666" s="36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36"/>
      <c r="B667" s="36"/>
      <c r="C667" s="12"/>
      <c r="D667" s="18"/>
      <c r="E667" s="36"/>
      <c r="F667" s="36"/>
      <c r="G667" s="18"/>
      <c r="H667" s="18"/>
      <c r="I667" s="36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36"/>
      <c r="B668" s="36"/>
      <c r="C668" s="12"/>
      <c r="D668" s="18"/>
      <c r="E668" s="36"/>
      <c r="F668" s="36"/>
      <c r="G668" s="18"/>
      <c r="H668" s="18"/>
      <c r="I668" s="36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36"/>
      <c r="B669" s="36"/>
      <c r="C669" s="12"/>
      <c r="D669" s="18"/>
      <c r="E669" s="36"/>
      <c r="F669" s="36"/>
      <c r="G669" s="18"/>
      <c r="H669" s="18"/>
      <c r="I669" s="36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36"/>
      <c r="B670" s="36"/>
      <c r="C670" s="12"/>
      <c r="D670" s="18"/>
      <c r="E670" s="36"/>
      <c r="F670" s="36"/>
      <c r="G670" s="18"/>
      <c r="H670" s="18"/>
      <c r="I670" s="36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36"/>
      <c r="B671" s="36"/>
      <c r="C671" s="12"/>
      <c r="D671" s="18"/>
      <c r="E671" s="36"/>
      <c r="F671" s="36"/>
      <c r="G671" s="18"/>
      <c r="H671" s="18"/>
      <c r="I671" s="36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36"/>
      <c r="B672" s="36"/>
      <c r="C672" s="12"/>
      <c r="D672" s="18"/>
      <c r="E672" s="36"/>
      <c r="F672" s="36"/>
      <c r="G672" s="18"/>
      <c r="H672" s="18"/>
      <c r="I672" s="36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36"/>
      <c r="B673" s="36"/>
      <c r="C673" s="12"/>
      <c r="D673" s="18"/>
      <c r="E673" s="36"/>
      <c r="F673" s="36"/>
      <c r="G673" s="18"/>
      <c r="H673" s="18"/>
      <c r="I673" s="36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36"/>
      <c r="B674" s="36"/>
      <c r="C674" s="12"/>
      <c r="D674" s="18"/>
      <c r="E674" s="36"/>
      <c r="F674" s="36"/>
      <c r="G674" s="18"/>
      <c r="H674" s="18"/>
      <c r="I674" s="36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36"/>
      <c r="B675" s="36"/>
      <c r="C675" s="12"/>
      <c r="D675" s="18"/>
      <c r="E675" s="36"/>
      <c r="F675" s="36"/>
      <c r="G675" s="18"/>
      <c r="H675" s="18"/>
      <c r="I675" s="36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36"/>
      <c r="B676" s="36"/>
      <c r="C676" s="12"/>
      <c r="D676" s="18"/>
      <c r="E676" s="36"/>
      <c r="F676" s="36"/>
      <c r="G676" s="18"/>
      <c r="H676" s="18"/>
      <c r="I676" s="36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36"/>
      <c r="B677" s="36"/>
      <c r="C677" s="12"/>
      <c r="D677" s="18"/>
      <c r="E677" s="36"/>
      <c r="F677" s="36"/>
      <c r="G677" s="18"/>
      <c r="H677" s="18"/>
      <c r="I677" s="36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36"/>
      <c r="B678" s="36"/>
      <c r="C678" s="12"/>
      <c r="D678" s="18"/>
      <c r="E678" s="36"/>
      <c r="F678" s="36"/>
      <c r="G678" s="18"/>
      <c r="H678" s="18"/>
      <c r="I678" s="36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36"/>
      <c r="B679" s="36"/>
      <c r="C679" s="12"/>
      <c r="D679" s="18"/>
      <c r="E679" s="36"/>
      <c r="F679" s="36"/>
      <c r="G679" s="18"/>
      <c r="H679" s="18"/>
      <c r="I679" s="36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36"/>
      <c r="B680" s="36"/>
      <c r="C680" s="12"/>
      <c r="D680" s="18"/>
      <c r="E680" s="36"/>
      <c r="F680" s="36"/>
      <c r="G680" s="18"/>
      <c r="H680" s="18"/>
      <c r="I680" s="36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36"/>
      <c r="B681" s="36"/>
      <c r="C681" s="12"/>
      <c r="D681" s="18"/>
      <c r="E681" s="36"/>
      <c r="F681" s="36"/>
      <c r="G681" s="18"/>
      <c r="H681" s="18"/>
      <c r="I681" s="36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36"/>
      <c r="B682" s="36"/>
      <c r="C682" s="12"/>
      <c r="D682" s="18"/>
      <c r="E682" s="36"/>
      <c r="F682" s="36"/>
      <c r="G682" s="18"/>
      <c r="H682" s="18"/>
      <c r="I682" s="36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36"/>
      <c r="B683" s="36"/>
      <c r="C683" s="12"/>
      <c r="D683" s="18"/>
      <c r="E683" s="36"/>
      <c r="F683" s="36"/>
      <c r="G683" s="18"/>
      <c r="H683" s="18"/>
      <c r="I683" s="36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36"/>
      <c r="B684" s="36"/>
      <c r="C684" s="12"/>
      <c r="D684" s="18"/>
      <c r="E684" s="36"/>
      <c r="F684" s="36"/>
      <c r="G684" s="18"/>
      <c r="H684" s="18"/>
      <c r="I684" s="36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36"/>
      <c r="B685" s="36"/>
      <c r="C685" s="12"/>
      <c r="D685" s="18"/>
      <c r="E685" s="36"/>
      <c r="F685" s="36"/>
      <c r="G685" s="18"/>
      <c r="H685" s="18"/>
      <c r="I685" s="36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36"/>
      <c r="B686" s="36"/>
      <c r="C686" s="12"/>
      <c r="D686" s="18"/>
      <c r="E686" s="36"/>
      <c r="F686" s="36"/>
      <c r="G686" s="18"/>
      <c r="H686" s="18"/>
      <c r="I686" s="36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36"/>
      <c r="B687" s="36"/>
      <c r="C687" s="12"/>
      <c r="D687" s="18"/>
      <c r="E687" s="36"/>
      <c r="F687" s="36"/>
      <c r="G687" s="18"/>
      <c r="H687" s="18"/>
      <c r="I687" s="36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36"/>
      <c r="B688" s="36"/>
      <c r="C688" s="12"/>
      <c r="D688" s="18"/>
      <c r="E688" s="36"/>
      <c r="F688" s="36"/>
      <c r="G688" s="18"/>
      <c r="H688" s="18"/>
      <c r="I688" s="36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36"/>
      <c r="B689" s="36"/>
      <c r="C689" s="12"/>
      <c r="D689" s="18"/>
      <c r="E689" s="36"/>
      <c r="F689" s="36"/>
      <c r="G689" s="18"/>
      <c r="H689" s="18"/>
      <c r="I689" s="36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36"/>
      <c r="B690" s="36"/>
      <c r="C690" s="12"/>
      <c r="D690" s="18"/>
      <c r="E690" s="36"/>
      <c r="F690" s="36"/>
      <c r="G690" s="18"/>
      <c r="H690" s="18"/>
      <c r="I690" s="36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36"/>
      <c r="B691" s="36"/>
      <c r="C691" s="12"/>
      <c r="D691" s="18"/>
      <c r="E691" s="36"/>
      <c r="F691" s="36"/>
      <c r="G691" s="18"/>
      <c r="H691" s="18"/>
      <c r="I691" s="36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36"/>
      <c r="B692" s="36"/>
      <c r="C692" s="12"/>
      <c r="D692" s="18"/>
      <c r="E692" s="36"/>
      <c r="F692" s="36"/>
      <c r="G692" s="18"/>
      <c r="H692" s="18"/>
      <c r="I692" s="36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36"/>
      <c r="B693" s="36"/>
      <c r="C693" s="12"/>
      <c r="D693" s="18"/>
      <c r="E693" s="36"/>
      <c r="F693" s="36"/>
      <c r="G693" s="18"/>
      <c r="H693" s="18"/>
      <c r="I693" s="36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36"/>
      <c r="B694" s="36"/>
      <c r="C694" s="12"/>
      <c r="D694" s="18"/>
      <c r="E694" s="36"/>
      <c r="F694" s="36"/>
      <c r="G694" s="18"/>
      <c r="H694" s="18"/>
      <c r="I694" s="36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36"/>
      <c r="B695" s="36"/>
      <c r="C695" s="12"/>
      <c r="D695" s="18"/>
      <c r="E695" s="36"/>
      <c r="F695" s="36"/>
      <c r="G695" s="18"/>
      <c r="H695" s="18"/>
      <c r="I695" s="36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36"/>
      <c r="B696" s="36"/>
      <c r="C696" s="12"/>
      <c r="D696" s="18"/>
      <c r="E696" s="36"/>
      <c r="F696" s="36"/>
      <c r="G696" s="18"/>
      <c r="H696" s="18"/>
      <c r="I696" s="36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36"/>
      <c r="B697" s="36"/>
      <c r="C697" s="12"/>
      <c r="D697" s="18"/>
      <c r="E697" s="36"/>
      <c r="F697" s="36"/>
      <c r="G697" s="18"/>
      <c r="H697" s="18"/>
      <c r="I697" s="36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36"/>
      <c r="B698" s="36"/>
      <c r="C698" s="12"/>
      <c r="D698" s="18"/>
      <c r="E698" s="36"/>
      <c r="F698" s="36"/>
      <c r="G698" s="18"/>
      <c r="H698" s="18"/>
      <c r="I698" s="36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36"/>
      <c r="B699" s="36"/>
      <c r="C699" s="12"/>
      <c r="D699" s="18"/>
      <c r="E699" s="36"/>
      <c r="F699" s="36"/>
      <c r="G699" s="18"/>
      <c r="H699" s="18"/>
      <c r="I699" s="36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36"/>
      <c r="B700" s="36"/>
      <c r="C700" s="12"/>
      <c r="D700" s="18"/>
      <c r="E700" s="36"/>
      <c r="F700" s="36"/>
      <c r="G700" s="18"/>
      <c r="H700" s="18"/>
      <c r="I700" s="36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36"/>
      <c r="B701" s="36"/>
      <c r="C701" s="12"/>
      <c r="D701" s="18"/>
      <c r="E701" s="36"/>
      <c r="F701" s="36"/>
      <c r="G701" s="18"/>
      <c r="H701" s="18"/>
      <c r="I701" s="36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36"/>
      <c r="B702" s="36"/>
      <c r="C702" s="12"/>
      <c r="D702" s="18"/>
      <c r="E702" s="36"/>
      <c r="F702" s="36"/>
      <c r="G702" s="18"/>
      <c r="H702" s="18"/>
      <c r="I702" s="36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36"/>
      <c r="B703" s="36"/>
      <c r="C703" s="12"/>
      <c r="D703" s="18"/>
      <c r="E703" s="36"/>
      <c r="F703" s="36"/>
      <c r="G703" s="18"/>
      <c r="H703" s="18"/>
      <c r="I703" s="36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36"/>
      <c r="B704" s="36"/>
      <c r="C704" s="12"/>
      <c r="D704" s="18"/>
      <c r="E704" s="36"/>
      <c r="F704" s="36"/>
      <c r="G704" s="18"/>
      <c r="H704" s="18"/>
      <c r="I704" s="36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36"/>
      <c r="B705" s="36"/>
      <c r="C705" s="12"/>
      <c r="D705" s="18"/>
      <c r="E705" s="36"/>
      <c r="F705" s="36"/>
      <c r="G705" s="18"/>
      <c r="H705" s="18"/>
      <c r="I705" s="36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36"/>
      <c r="B706" s="36"/>
      <c r="C706" s="12"/>
      <c r="D706" s="18"/>
      <c r="E706" s="36"/>
      <c r="F706" s="36"/>
      <c r="G706" s="18"/>
      <c r="H706" s="18"/>
      <c r="I706" s="36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36"/>
      <c r="B707" s="36"/>
      <c r="C707" s="12"/>
      <c r="D707" s="18"/>
      <c r="E707" s="36"/>
      <c r="F707" s="36"/>
      <c r="G707" s="18"/>
      <c r="H707" s="18"/>
      <c r="I707" s="36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36"/>
      <c r="B708" s="36"/>
      <c r="C708" s="12"/>
      <c r="D708" s="18"/>
      <c r="E708" s="36"/>
      <c r="F708" s="36"/>
      <c r="G708" s="18"/>
      <c r="H708" s="18"/>
      <c r="I708" s="36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36"/>
      <c r="B709" s="36"/>
      <c r="C709" s="12"/>
      <c r="D709" s="18"/>
      <c r="E709" s="36"/>
      <c r="F709" s="36"/>
      <c r="G709" s="18"/>
      <c r="H709" s="18"/>
      <c r="I709" s="36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36"/>
      <c r="B710" s="36"/>
      <c r="C710" s="12"/>
      <c r="D710" s="18"/>
      <c r="E710" s="36"/>
      <c r="F710" s="36"/>
      <c r="G710" s="18"/>
      <c r="H710" s="18"/>
      <c r="I710" s="36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36"/>
      <c r="B711" s="36"/>
      <c r="C711" s="12"/>
      <c r="D711" s="18"/>
      <c r="E711" s="36"/>
      <c r="F711" s="36"/>
      <c r="G711" s="18"/>
      <c r="H711" s="18"/>
      <c r="I711" s="36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36"/>
      <c r="B712" s="36"/>
      <c r="C712" s="12"/>
      <c r="D712" s="18"/>
      <c r="E712" s="36"/>
      <c r="F712" s="36"/>
      <c r="G712" s="18"/>
      <c r="H712" s="18"/>
      <c r="I712" s="36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36"/>
      <c r="B713" s="36"/>
      <c r="C713" s="12"/>
      <c r="D713" s="18"/>
      <c r="E713" s="36"/>
      <c r="F713" s="36"/>
      <c r="G713" s="18"/>
      <c r="H713" s="18"/>
      <c r="I713" s="36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36"/>
      <c r="B714" s="36"/>
      <c r="C714" s="12"/>
      <c r="D714" s="18"/>
      <c r="E714" s="36"/>
      <c r="F714" s="36"/>
      <c r="G714" s="18"/>
      <c r="H714" s="18"/>
      <c r="I714" s="36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36"/>
      <c r="B715" s="36"/>
      <c r="C715" s="12"/>
      <c r="D715" s="18"/>
      <c r="E715" s="36"/>
      <c r="F715" s="36"/>
      <c r="G715" s="18"/>
      <c r="H715" s="18"/>
      <c r="I715" s="36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36"/>
      <c r="B716" s="36"/>
      <c r="C716" s="12"/>
      <c r="D716" s="18"/>
      <c r="E716" s="36"/>
      <c r="F716" s="36"/>
      <c r="G716" s="18"/>
      <c r="H716" s="18"/>
      <c r="I716" s="36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36"/>
      <c r="B717" s="36"/>
      <c r="C717" s="12"/>
      <c r="D717" s="18"/>
      <c r="E717" s="36"/>
      <c r="F717" s="36"/>
      <c r="G717" s="18"/>
      <c r="H717" s="18"/>
      <c r="I717" s="36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36"/>
      <c r="B718" s="36"/>
      <c r="C718" s="12"/>
      <c r="D718" s="18"/>
      <c r="E718" s="36"/>
      <c r="F718" s="36"/>
      <c r="G718" s="18"/>
      <c r="H718" s="18"/>
      <c r="I718" s="36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36"/>
      <c r="B719" s="36"/>
      <c r="C719" s="12"/>
      <c r="D719" s="18"/>
      <c r="E719" s="36"/>
      <c r="F719" s="36"/>
      <c r="G719" s="18"/>
      <c r="H719" s="18"/>
      <c r="I719" s="36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36"/>
      <c r="B720" s="36"/>
      <c r="C720" s="12"/>
      <c r="D720" s="18"/>
      <c r="E720" s="36"/>
      <c r="F720" s="36"/>
      <c r="G720" s="18"/>
      <c r="H720" s="18"/>
      <c r="I720" s="36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36"/>
      <c r="B721" s="36"/>
      <c r="C721" s="12"/>
      <c r="D721" s="18"/>
      <c r="E721" s="36"/>
      <c r="F721" s="36"/>
      <c r="G721" s="18"/>
      <c r="H721" s="18"/>
      <c r="I721" s="36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36"/>
      <c r="B722" s="36"/>
      <c r="C722" s="12"/>
      <c r="D722" s="18"/>
      <c r="E722" s="36"/>
      <c r="F722" s="36"/>
      <c r="G722" s="18"/>
      <c r="H722" s="18"/>
      <c r="I722" s="36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36"/>
      <c r="B723" s="36"/>
      <c r="C723" s="12"/>
      <c r="D723" s="18"/>
      <c r="E723" s="36"/>
      <c r="F723" s="36"/>
      <c r="G723" s="18"/>
      <c r="H723" s="18"/>
      <c r="I723" s="36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36"/>
      <c r="B724" s="36"/>
      <c r="C724" s="12"/>
      <c r="D724" s="18"/>
      <c r="E724" s="36"/>
      <c r="F724" s="36"/>
      <c r="G724" s="18"/>
      <c r="H724" s="18"/>
      <c r="I724" s="36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36"/>
      <c r="B725" s="36"/>
      <c r="C725" s="12"/>
      <c r="D725" s="18"/>
      <c r="E725" s="36"/>
      <c r="F725" s="36"/>
      <c r="G725" s="18"/>
      <c r="H725" s="18"/>
      <c r="I725" s="36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36"/>
      <c r="B726" s="36"/>
      <c r="C726" s="12"/>
      <c r="D726" s="18"/>
      <c r="E726" s="36"/>
      <c r="F726" s="36"/>
      <c r="G726" s="18"/>
      <c r="H726" s="18"/>
      <c r="I726" s="36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36"/>
      <c r="B727" s="36"/>
      <c r="C727" s="12"/>
      <c r="D727" s="18"/>
      <c r="E727" s="36"/>
      <c r="F727" s="36"/>
      <c r="G727" s="18"/>
      <c r="H727" s="18"/>
      <c r="I727" s="36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36"/>
      <c r="B728" s="36"/>
      <c r="C728" s="12"/>
      <c r="D728" s="18"/>
      <c r="E728" s="36"/>
      <c r="F728" s="36"/>
      <c r="G728" s="18"/>
      <c r="H728" s="18"/>
      <c r="I728" s="36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36"/>
      <c r="B729" s="36"/>
      <c r="C729" s="12"/>
      <c r="D729" s="18"/>
      <c r="E729" s="36"/>
      <c r="F729" s="36"/>
      <c r="G729" s="18"/>
      <c r="H729" s="18"/>
      <c r="I729" s="36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36"/>
      <c r="B730" s="36"/>
      <c r="C730" s="12"/>
      <c r="D730" s="18"/>
      <c r="E730" s="36"/>
      <c r="F730" s="36"/>
      <c r="G730" s="18"/>
      <c r="H730" s="18"/>
      <c r="I730" s="36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36"/>
      <c r="B731" s="36"/>
      <c r="C731" s="12"/>
      <c r="D731" s="18"/>
      <c r="E731" s="36"/>
      <c r="F731" s="36"/>
      <c r="G731" s="18"/>
      <c r="H731" s="18"/>
      <c r="I731" s="36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36"/>
      <c r="B732" s="36"/>
      <c r="C732" s="12"/>
      <c r="D732" s="18"/>
      <c r="E732" s="36"/>
      <c r="F732" s="36"/>
      <c r="G732" s="18"/>
      <c r="H732" s="18"/>
      <c r="I732" s="36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36"/>
      <c r="B733" s="36"/>
      <c r="C733" s="12"/>
      <c r="D733" s="18"/>
      <c r="E733" s="36"/>
      <c r="F733" s="36"/>
      <c r="G733" s="18"/>
      <c r="H733" s="18"/>
      <c r="I733" s="36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36"/>
      <c r="B734" s="36"/>
      <c r="C734" s="12"/>
      <c r="D734" s="18"/>
      <c r="E734" s="36"/>
      <c r="F734" s="36"/>
      <c r="G734" s="18"/>
      <c r="H734" s="18"/>
      <c r="I734" s="36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36"/>
      <c r="B735" s="36"/>
      <c r="C735" s="12"/>
      <c r="D735" s="18"/>
      <c r="E735" s="36"/>
      <c r="F735" s="36"/>
      <c r="G735" s="18"/>
      <c r="H735" s="18"/>
      <c r="I735" s="36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36"/>
      <c r="B736" s="36"/>
      <c r="C736" s="12"/>
      <c r="D736" s="18"/>
      <c r="E736" s="36"/>
      <c r="F736" s="36"/>
      <c r="G736" s="18"/>
      <c r="H736" s="18"/>
      <c r="I736" s="36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36"/>
      <c r="B737" s="36"/>
      <c r="C737" s="12"/>
      <c r="D737" s="18"/>
      <c r="E737" s="36"/>
      <c r="F737" s="36"/>
      <c r="G737" s="18"/>
      <c r="H737" s="18"/>
      <c r="I737" s="36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36"/>
      <c r="B738" s="36"/>
      <c r="C738" s="12"/>
      <c r="D738" s="18"/>
      <c r="E738" s="36"/>
      <c r="F738" s="36"/>
      <c r="G738" s="18"/>
      <c r="H738" s="18"/>
      <c r="I738" s="36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36"/>
      <c r="B739" s="36"/>
      <c r="C739" s="12"/>
      <c r="D739" s="18"/>
      <c r="E739" s="36"/>
      <c r="F739" s="36"/>
      <c r="G739" s="18"/>
      <c r="H739" s="18"/>
      <c r="I739" s="36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36"/>
      <c r="B740" s="36"/>
      <c r="C740" s="12"/>
      <c r="D740" s="18"/>
      <c r="E740" s="36"/>
      <c r="F740" s="36"/>
      <c r="G740" s="18"/>
      <c r="H740" s="18"/>
      <c r="I740" s="36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36"/>
      <c r="B741" s="36"/>
      <c r="C741" s="12"/>
      <c r="D741" s="18"/>
      <c r="E741" s="36"/>
      <c r="F741" s="36"/>
      <c r="G741" s="18"/>
      <c r="H741" s="18"/>
      <c r="I741" s="36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36"/>
      <c r="B742" s="36"/>
      <c r="C742" s="12"/>
      <c r="D742" s="18"/>
      <c r="E742" s="36"/>
      <c r="F742" s="36"/>
      <c r="G742" s="18"/>
      <c r="H742" s="18"/>
      <c r="I742" s="36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36"/>
      <c r="B743" s="36"/>
      <c r="C743" s="12"/>
      <c r="D743" s="18"/>
      <c r="E743" s="36"/>
      <c r="F743" s="36"/>
      <c r="G743" s="18"/>
      <c r="H743" s="18"/>
      <c r="I743" s="36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36"/>
      <c r="B744" s="36"/>
      <c r="C744" s="12"/>
      <c r="D744" s="18"/>
      <c r="E744" s="36"/>
      <c r="F744" s="36"/>
      <c r="G744" s="18"/>
      <c r="H744" s="18"/>
      <c r="I744" s="36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36"/>
      <c r="B745" s="36"/>
      <c r="C745" s="12"/>
      <c r="D745" s="18"/>
      <c r="E745" s="36"/>
      <c r="F745" s="36"/>
      <c r="G745" s="18"/>
      <c r="H745" s="18"/>
      <c r="I745" s="36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36"/>
      <c r="B746" s="36"/>
      <c r="C746" s="12"/>
      <c r="D746" s="18"/>
      <c r="E746" s="36"/>
      <c r="F746" s="36"/>
      <c r="G746" s="18"/>
      <c r="H746" s="18"/>
      <c r="I746" s="36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36"/>
      <c r="B747" s="36"/>
      <c r="C747" s="12"/>
      <c r="D747" s="18"/>
      <c r="E747" s="36"/>
      <c r="F747" s="36"/>
      <c r="G747" s="18"/>
      <c r="H747" s="18"/>
      <c r="I747" s="36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36"/>
      <c r="B748" s="36"/>
      <c r="C748" s="12"/>
      <c r="D748" s="18"/>
      <c r="E748" s="36"/>
      <c r="F748" s="36"/>
      <c r="G748" s="18"/>
      <c r="H748" s="18"/>
      <c r="I748" s="36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36"/>
      <c r="B749" s="36"/>
      <c r="C749" s="12"/>
      <c r="D749" s="18"/>
      <c r="E749" s="36"/>
      <c r="F749" s="36"/>
      <c r="G749" s="18"/>
      <c r="H749" s="18"/>
      <c r="I749" s="36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36"/>
      <c r="B750" s="36"/>
      <c r="C750" s="12"/>
      <c r="D750" s="18"/>
      <c r="E750" s="36"/>
      <c r="F750" s="36"/>
      <c r="G750" s="18"/>
      <c r="H750" s="18"/>
      <c r="I750" s="36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36"/>
      <c r="B751" s="36"/>
      <c r="C751" s="12"/>
      <c r="D751" s="18"/>
      <c r="E751" s="36"/>
      <c r="F751" s="36"/>
      <c r="G751" s="18"/>
      <c r="H751" s="18"/>
      <c r="I751" s="36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36"/>
      <c r="B752" s="36"/>
      <c r="C752" s="12"/>
      <c r="D752" s="18"/>
      <c r="E752" s="36"/>
      <c r="F752" s="36"/>
      <c r="G752" s="18"/>
      <c r="H752" s="18"/>
      <c r="I752" s="36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36"/>
      <c r="B753" s="36"/>
      <c r="C753" s="12"/>
      <c r="D753" s="18"/>
      <c r="E753" s="36"/>
      <c r="F753" s="36"/>
      <c r="G753" s="18"/>
      <c r="H753" s="18"/>
      <c r="I753" s="36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36"/>
      <c r="B754" s="36"/>
      <c r="C754" s="12"/>
      <c r="D754" s="18"/>
      <c r="E754" s="36"/>
      <c r="F754" s="36"/>
      <c r="G754" s="18"/>
      <c r="H754" s="18"/>
      <c r="I754" s="36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36"/>
      <c r="B755" s="36"/>
      <c r="C755" s="12"/>
      <c r="D755" s="18"/>
      <c r="E755" s="36"/>
      <c r="F755" s="36"/>
      <c r="G755" s="18"/>
      <c r="H755" s="18"/>
      <c r="I755" s="36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36"/>
      <c r="B756" s="36"/>
      <c r="C756" s="12"/>
      <c r="D756" s="18"/>
      <c r="E756" s="36"/>
      <c r="F756" s="36"/>
      <c r="G756" s="18"/>
      <c r="H756" s="18"/>
      <c r="I756" s="36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36"/>
      <c r="B757" s="36"/>
      <c r="C757" s="12"/>
      <c r="D757" s="18"/>
      <c r="E757" s="36"/>
      <c r="F757" s="36"/>
      <c r="G757" s="18"/>
      <c r="H757" s="18"/>
      <c r="I757" s="36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36"/>
      <c r="B758" s="36"/>
      <c r="C758" s="12"/>
      <c r="D758" s="18"/>
      <c r="E758" s="36"/>
      <c r="F758" s="36"/>
      <c r="G758" s="18"/>
      <c r="H758" s="18"/>
      <c r="I758" s="36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36"/>
      <c r="B759" s="36"/>
      <c r="C759" s="12"/>
      <c r="D759" s="18"/>
      <c r="E759" s="36"/>
      <c r="F759" s="36"/>
      <c r="G759" s="18"/>
      <c r="H759" s="18"/>
      <c r="I759" s="36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36"/>
      <c r="B760" s="36"/>
      <c r="C760" s="12"/>
      <c r="D760" s="18"/>
      <c r="E760" s="36"/>
      <c r="F760" s="36"/>
      <c r="G760" s="18"/>
      <c r="H760" s="18"/>
      <c r="I760" s="36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36"/>
      <c r="B761" s="36"/>
      <c r="C761" s="12"/>
      <c r="D761" s="18"/>
      <c r="E761" s="36"/>
      <c r="F761" s="36"/>
      <c r="G761" s="18"/>
      <c r="H761" s="18"/>
      <c r="I761" s="36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36"/>
      <c r="B762" s="36"/>
      <c r="C762" s="12"/>
      <c r="D762" s="18"/>
      <c r="E762" s="36"/>
      <c r="F762" s="36"/>
      <c r="G762" s="18"/>
      <c r="H762" s="18"/>
      <c r="I762" s="36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36"/>
      <c r="B763" s="36"/>
      <c r="C763" s="12"/>
      <c r="D763" s="18"/>
      <c r="E763" s="36"/>
      <c r="F763" s="36"/>
      <c r="G763" s="18"/>
      <c r="H763" s="18"/>
      <c r="I763" s="36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36"/>
      <c r="B764" s="36"/>
      <c r="C764" s="12"/>
      <c r="D764" s="18"/>
      <c r="E764" s="36"/>
      <c r="F764" s="36"/>
      <c r="G764" s="18"/>
      <c r="H764" s="18"/>
      <c r="I764" s="36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36"/>
      <c r="B765" s="36"/>
      <c r="C765" s="12"/>
      <c r="D765" s="18"/>
      <c r="E765" s="36"/>
      <c r="F765" s="36"/>
      <c r="G765" s="18"/>
      <c r="H765" s="18"/>
      <c r="I765" s="36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36"/>
      <c r="B766" s="36"/>
      <c r="C766" s="12"/>
      <c r="D766" s="18"/>
      <c r="E766" s="36"/>
      <c r="F766" s="36"/>
      <c r="G766" s="18"/>
      <c r="H766" s="18"/>
      <c r="I766" s="36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36"/>
      <c r="B767" s="36"/>
      <c r="C767" s="12"/>
      <c r="D767" s="18"/>
      <c r="E767" s="36"/>
      <c r="F767" s="36"/>
      <c r="G767" s="18"/>
      <c r="H767" s="18"/>
      <c r="I767" s="36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36"/>
      <c r="B768" s="36"/>
      <c r="C768" s="12"/>
      <c r="D768" s="18"/>
      <c r="E768" s="36"/>
      <c r="F768" s="36"/>
      <c r="G768" s="18"/>
      <c r="H768" s="18"/>
      <c r="I768" s="36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36"/>
      <c r="B769" s="36"/>
      <c r="C769" s="12"/>
      <c r="D769" s="18"/>
      <c r="E769" s="36"/>
      <c r="F769" s="36"/>
      <c r="G769" s="18"/>
      <c r="H769" s="18"/>
      <c r="I769" s="36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36"/>
      <c r="B770" s="36"/>
      <c r="C770" s="12"/>
      <c r="D770" s="18"/>
      <c r="E770" s="36"/>
      <c r="F770" s="36"/>
      <c r="G770" s="18"/>
      <c r="H770" s="18"/>
      <c r="I770" s="36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36"/>
      <c r="B771" s="36"/>
      <c r="C771" s="12"/>
      <c r="D771" s="18"/>
      <c r="E771" s="36"/>
      <c r="F771" s="36"/>
      <c r="G771" s="18"/>
      <c r="H771" s="18"/>
      <c r="I771" s="36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36"/>
      <c r="B772" s="36"/>
      <c r="C772" s="12"/>
      <c r="D772" s="18"/>
      <c r="E772" s="36"/>
      <c r="F772" s="36"/>
      <c r="G772" s="18"/>
      <c r="H772" s="18"/>
      <c r="I772" s="36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36"/>
      <c r="B773" s="36"/>
      <c r="C773" s="12"/>
      <c r="D773" s="18"/>
      <c r="E773" s="36"/>
      <c r="F773" s="36"/>
      <c r="G773" s="18"/>
      <c r="H773" s="18"/>
      <c r="I773" s="36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36"/>
      <c r="B774" s="36"/>
      <c r="C774" s="12"/>
      <c r="D774" s="18"/>
      <c r="E774" s="36"/>
      <c r="F774" s="36"/>
      <c r="G774" s="18"/>
      <c r="H774" s="18"/>
      <c r="I774" s="36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36"/>
      <c r="B775" s="36"/>
      <c r="C775" s="12"/>
      <c r="D775" s="18"/>
      <c r="E775" s="36"/>
      <c r="F775" s="36"/>
      <c r="G775" s="18"/>
      <c r="H775" s="18"/>
      <c r="I775" s="36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36"/>
      <c r="B776" s="36"/>
      <c r="C776" s="12"/>
      <c r="D776" s="18"/>
      <c r="E776" s="36"/>
      <c r="F776" s="36"/>
      <c r="G776" s="18"/>
      <c r="H776" s="18"/>
      <c r="I776" s="36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36"/>
      <c r="B777" s="36"/>
      <c r="C777" s="12"/>
      <c r="D777" s="18"/>
      <c r="E777" s="36"/>
      <c r="F777" s="36"/>
      <c r="G777" s="18"/>
      <c r="H777" s="18"/>
      <c r="I777" s="36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36"/>
      <c r="B778" s="36"/>
      <c r="C778" s="12"/>
      <c r="D778" s="18"/>
      <c r="E778" s="36"/>
      <c r="F778" s="36"/>
      <c r="G778" s="18"/>
      <c r="H778" s="18"/>
      <c r="I778" s="36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36"/>
      <c r="B779" s="36"/>
      <c r="C779" s="12"/>
      <c r="D779" s="18"/>
      <c r="E779" s="36"/>
      <c r="F779" s="36"/>
      <c r="G779" s="18"/>
      <c r="H779" s="18"/>
      <c r="I779" s="36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36"/>
      <c r="B780" s="36"/>
      <c r="C780" s="12"/>
      <c r="D780" s="18"/>
      <c r="E780" s="36"/>
      <c r="F780" s="36"/>
      <c r="G780" s="18"/>
      <c r="H780" s="18"/>
      <c r="I780" s="36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36"/>
      <c r="B781" s="36"/>
      <c r="C781" s="12"/>
      <c r="D781" s="18"/>
      <c r="E781" s="36"/>
      <c r="F781" s="36"/>
      <c r="G781" s="18"/>
      <c r="H781" s="18"/>
      <c r="I781" s="36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36"/>
      <c r="B782" s="36"/>
      <c r="C782" s="12"/>
      <c r="D782" s="18"/>
      <c r="E782" s="36"/>
      <c r="F782" s="36"/>
      <c r="G782" s="18"/>
      <c r="H782" s="18"/>
      <c r="I782" s="36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36"/>
      <c r="B783" s="36"/>
      <c r="C783" s="12"/>
      <c r="D783" s="18"/>
      <c r="E783" s="36"/>
      <c r="F783" s="36"/>
      <c r="G783" s="18"/>
      <c r="H783" s="18"/>
      <c r="I783" s="36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36"/>
      <c r="B784" s="36"/>
      <c r="C784" s="12"/>
      <c r="D784" s="18"/>
      <c r="E784" s="36"/>
      <c r="F784" s="36"/>
      <c r="G784" s="18"/>
      <c r="H784" s="18"/>
      <c r="I784" s="36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36"/>
      <c r="B785" s="36"/>
      <c r="C785" s="12"/>
      <c r="D785" s="18"/>
      <c r="E785" s="36"/>
      <c r="F785" s="36"/>
      <c r="G785" s="18"/>
      <c r="H785" s="18"/>
      <c r="I785" s="36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36"/>
      <c r="B786" s="36"/>
      <c r="C786" s="12"/>
      <c r="D786" s="18"/>
      <c r="E786" s="36"/>
      <c r="F786" s="36"/>
      <c r="G786" s="18"/>
      <c r="H786" s="18"/>
      <c r="I786" s="36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36"/>
      <c r="B787" s="36"/>
      <c r="C787" s="12"/>
      <c r="D787" s="18"/>
      <c r="E787" s="36"/>
      <c r="F787" s="36"/>
      <c r="G787" s="18"/>
      <c r="H787" s="18"/>
      <c r="I787" s="36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36"/>
      <c r="B788" s="36"/>
      <c r="C788" s="12"/>
      <c r="D788" s="18"/>
      <c r="E788" s="36"/>
      <c r="F788" s="36"/>
      <c r="G788" s="18"/>
      <c r="H788" s="18"/>
      <c r="I788" s="36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36"/>
      <c r="B789" s="36"/>
      <c r="C789" s="12"/>
      <c r="D789" s="18"/>
      <c r="E789" s="36"/>
      <c r="F789" s="36"/>
      <c r="G789" s="18"/>
      <c r="H789" s="18"/>
      <c r="I789" s="36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36"/>
      <c r="B790" s="36"/>
      <c r="C790" s="12"/>
      <c r="D790" s="18"/>
      <c r="E790" s="36"/>
      <c r="F790" s="36"/>
      <c r="G790" s="18"/>
      <c r="H790" s="18"/>
      <c r="I790" s="36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36"/>
      <c r="B791" s="36"/>
      <c r="C791" s="12"/>
      <c r="D791" s="18"/>
      <c r="E791" s="36"/>
      <c r="F791" s="36"/>
      <c r="G791" s="18"/>
      <c r="H791" s="18"/>
      <c r="I791" s="36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36"/>
      <c r="B792" s="36"/>
      <c r="C792" s="12"/>
      <c r="D792" s="18"/>
      <c r="E792" s="36"/>
      <c r="F792" s="36"/>
      <c r="G792" s="18"/>
      <c r="H792" s="18"/>
      <c r="I792" s="36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36"/>
      <c r="B793" s="36"/>
      <c r="C793" s="12"/>
      <c r="D793" s="18"/>
      <c r="E793" s="36"/>
      <c r="F793" s="36"/>
      <c r="G793" s="18"/>
      <c r="H793" s="18"/>
      <c r="I793" s="36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36"/>
      <c r="B794" s="36"/>
      <c r="C794" s="12"/>
      <c r="D794" s="18"/>
      <c r="E794" s="36"/>
      <c r="F794" s="36"/>
      <c r="G794" s="18"/>
      <c r="H794" s="18"/>
      <c r="I794" s="36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36"/>
      <c r="B795" s="36"/>
      <c r="C795" s="12"/>
      <c r="D795" s="18"/>
      <c r="E795" s="36"/>
      <c r="F795" s="36"/>
      <c r="G795" s="18"/>
      <c r="H795" s="18"/>
      <c r="I795" s="36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36"/>
      <c r="B796" s="36"/>
      <c r="C796" s="12"/>
      <c r="D796" s="18"/>
      <c r="E796" s="36"/>
      <c r="F796" s="36"/>
      <c r="G796" s="18"/>
      <c r="H796" s="18"/>
      <c r="I796" s="36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36"/>
      <c r="B797" s="36"/>
      <c r="C797" s="12"/>
      <c r="D797" s="18"/>
      <c r="E797" s="36"/>
      <c r="F797" s="36"/>
      <c r="G797" s="18"/>
      <c r="H797" s="18"/>
      <c r="I797" s="36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36"/>
      <c r="B798" s="36"/>
      <c r="C798" s="12"/>
      <c r="D798" s="18"/>
      <c r="E798" s="36"/>
      <c r="F798" s="36"/>
      <c r="G798" s="18"/>
      <c r="H798" s="18"/>
      <c r="I798" s="36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36"/>
      <c r="B799" s="36"/>
      <c r="C799" s="12"/>
      <c r="D799" s="18"/>
      <c r="E799" s="36"/>
      <c r="F799" s="36"/>
      <c r="G799" s="18"/>
      <c r="H799" s="18"/>
      <c r="I799" s="36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36"/>
      <c r="B800" s="36"/>
      <c r="C800" s="12"/>
      <c r="D800" s="18"/>
      <c r="E800" s="36"/>
      <c r="F800" s="36"/>
      <c r="G800" s="18"/>
      <c r="H800" s="18"/>
      <c r="I800" s="36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36"/>
      <c r="B801" s="36"/>
      <c r="C801" s="12"/>
      <c r="D801" s="18"/>
      <c r="E801" s="36"/>
      <c r="F801" s="36"/>
      <c r="G801" s="18"/>
      <c r="H801" s="18"/>
      <c r="I801" s="36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36"/>
      <c r="B802" s="36"/>
      <c r="C802" s="12"/>
      <c r="D802" s="18"/>
      <c r="E802" s="36"/>
      <c r="F802" s="36"/>
      <c r="G802" s="18"/>
      <c r="H802" s="18"/>
      <c r="I802" s="36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36"/>
      <c r="B803" s="36"/>
      <c r="C803" s="12"/>
      <c r="D803" s="18"/>
      <c r="E803" s="36"/>
      <c r="F803" s="36"/>
      <c r="G803" s="18"/>
      <c r="H803" s="18"/>
      <c r="I803" s="36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36"/>
      <c r="B804" s="36"/>
      <c r="C804" s="12"/>
      <c r="D804" s="18"/>
      <c r="E804" s="36"/>
      <c r="F804" s="36"/>
      <c r="G804" s="18"/>
      <c r="H804" s="18"/>
      <c r="I804" s="36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36"/>
      <c r="B805" s="36"/>
      <c r="C805" s="12"/>
      <c r="D805" s="18"/>
      <c r="E805" s="36"/>
      <c r="F805" s="36"/>
      <c r="G805" s="18"/>
      <c r="H805" s="18"/>
      <c r="I805" s="36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36"/>
      <c r="B806" s="36"/>
      <c r="C806" s="12"/>
      <c r="D806" s="18"/>
      <c r="E806" s="36"/>
      <c r="F806" s="36"/>
      <c r="G806" s="18"/>
      <c r="H806" s="18"/>
      <c r="I806" s="36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36"/>
      <c r="B807" s="36"/>
      <c r="C807" s="12"/>
      <c r="D807" s="18"/>
      <c r="E807" s="36"/>
      <c r="F807" s="36"/>
      <c r="G807" s="18"/>
      <c r="H807" s="18"/>
      <c r="I807" s="36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36"/>
      <c r="B808" s="36"/>
      <c r="C808" s="12"/>
      <c r="D808" s="18"/>
      <c r="E808" s="36"/>
      <c r="F808" s="36"/>
      <c r="G808" s="18"/>
      <c r="H808" s="18"/>
      <c r="I808" s="36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36"/>
      <c r="B809" s="36"/>
      <c r="C809" s="12"/>
      <c r="D809" s="18"/>
      <c r="E809" s="36"/>
      <c r="F809" s="36"/>
      <c r="G809" s="18"/>
      <c r="H809" s="18"/>
      <c r="I809" s="36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36"/>
      <c r="B810" s="36"/>
      <c r="C810" s="12"/>
      <c r="D810" s="18"/>
      <c r="E810" s="36"/>
      <c r="F810" s="36"/>
      <c r="G810" s="18"/>
      <c r="H810" s="18"/>
      <c r="I810" s="36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36"/>
      <c r="B811" s="36"/>
      <c r="C811" s="12"/>
      <c r="D811" s="18"/>
      <c r="E811" s="36"/>
      <c r="F811" s="36"/>
      <c r="G811" s="18"/>
      <c r="H811" s="18"/>
      <c r="I811" s="36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36"/>
      <c r="B812" s="36"/>
      <c r="C812" s="12"/>
      <c r="D812" s="18"/>
      <c r="E812" s="36"/>
      <c r="F812" s="36"/>
      <c r="G812" s="18"/>
      <c r="H812" s="18"/>
      <c r="I812" s="36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36"/>
      <c r="B813" s="36"/>
      <c r="C813" s="12"/>
      <c r="D813" s="18"/>
      <c r="E813" s="36"/>
      <c r="F813" s="36"/>
      <c r="G813" s="18"/>
      <c r="H813" s="18"/>
      <c r="I813" s="36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36"/>
      <c r="B814" s="36"/>
      <c r="C814" s="12"/>
      <c r="D814" s="18"/>
      <c r="E814" s="36"/>
      <c r="F814" s="36"/>
      <c r="G814" s="18"/>
      <c r="H814" s="18"/>
      <c r="I814" s="36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36"/>
      <c r="B815" s="36"/>
      <c r="C815" s="12"/>
      <c r="D815" s="18"/>
      <c r="E815" s="36"/>
      <c r="F815" s="36"/>
      <c r="G815" s="18"/>
      <c r="H815" s="18"/>
      <c r="I815" s="36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36"/>
      <c r="B816" s="36"/>
      <c r="C816" s="12"/>
      <c r="D816" s="18"/>
      <c r="E816" s="36"/>
      <c r="F816" s="36"/>
      <c r="G816" s="18"/>
      <c r="H816" s="18"/>
      <c r="I816" s="36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36"/>
      <c r="B817" s="36"/>
      <c r="C817" s="12"/>
      <c r="D817" s="18"/>
      <c r="E817" s="36"/>
      <c r="F817" s="36"/>
      <c r="G817" s="18"/>
      <c r="H817" s="18"/>
      <c r="I817" s="36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36"/>
      <c r="B818" s="36"/>
      <c r="C818" s="12"/>
      <c r="D818" s="18"/>
      <c r="E818" s="36"/>
      <c r="F818" s="36"/>
      <c r="G818" s="18"/>
      <c r="H818" s="18"/>
      <c r="I818" s="36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36"/>
      <c r="B819" s="36"/>
      <c r="C819" s="12"/>
      <c r="D819" s="18"/>
      <c r="E819" s="36"/>
      <c r="F819" s="36"/>
      <c r="G819" s="18"/>
      <c r="H819" s="18"/>
      <c r="I819" s="36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36"/>
      <c r="B820" s="36"/>
      <c r="C820" s="12"/>
      <c r="D820" s="18"/>
      <c r="E820" s="36"/>
      <c r="F820" s="36"/>
      <c r="G820" s="18"/>
      <c r="H820" s="18"/>
      <c r="I820" s="36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36"/>
      <c r="B821" s="36"/>
      <c r="C821" s="12"/>
      <c r="D821" s="18"/>
      <c r="E821" s="36"/>
      <c r="F821" s="36"/>
      <c r="G821" s="18"/>
      <c r="H821" s="18"/>
      <c r="I821" s="36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36"/>
      <c r="B822" s="36"/>
      <c r="C822" s="12"/>
      <c r="D822" s="18"/>
      <c r="E822" s="36"/>
      <c r="F822" s="36"/>
      <c r="G822" s="18"/>
      <c r="H822" s="18"/>
      <c r="I822" s="36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36"/>
      <c r="B823" s="36"/>
      <c r="C823" s="12"/>
      <c r="D823" s="18"/>
      <c r="E823" s="36"/>
      <c r="F823" s="36"/>
      <c r="G823" s="18"/>
      <c r="H823" s="18"/>
      <c r="I823" s="36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36"/>
      <c r="B824" s="36"/>
      <c r="C824" s="12"/>
      <c r="D824" s="18"/>
      <c r="E824" s="36"/>
      <c r="F824" s="36"/>
      <c r="G824" s="18"/>
      <c r="H824" s="18"/>
      <c r="I824" s="36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36"/>
      <c r="B825" s="36"/>
      <c r="C825" s="12"/>
      <c r="D825" s="18"/>
      <c r="E825" s="36"/>
      <c r="F825" s="36"/>
      <c r="G825" s="18"/>
      <c r="H825" s="18"/>
      <c r="I825" s="36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36"/>
      <c r="B826" s="36"/>
      <c r="C826" s="12"/>
      <c r="D826" s="18"/>
      <c r="E826" s="36"/>
      <c r="F826" s="36"/>
      <c r="G826" s="18"/>
      <c r="H826" s="18"/>
      <c r="I826" s="36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36"/>
      <c r="B827" s="36"/>
      <c r="C827" s="12"/>
      <c r="D827" s="18"/>
      <c r="E827" s="36"/>
      <c r="F827" s="36"/>
      <c r="G827" s="18"/>
      <c r="H827" s="18"/>
      <c r="I827" s="36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36"/>
      <c r="B828" s="36"/>
      <c r="C828" s="12"/>
      <c r="D828" s="18"/>
      <c r="E828" s="36"/>
      <c r="F828" s="36"/>
      <c r="G828" s="18"/>
      <c r="H828" s="18"/>
      <c r="I828" s="36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36"/>
      <c r="B829" s="36"/>
      <c r="C829" s="12"/>
      <c r="D829" s="18"/>
      <c r="E829" s="36"/>
      <c r="F829" s="36"/>
      <c r="G829" s="18"/>
      <c r="H829" s="18"/>
      <c r="I829" s="36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36"/>
      <c r="B830" s="36"/>
      <c r="C830" s="12"/>
      <c r="D830" s="18"/>
      <c r="E830" s="36"/>
      <c r="F830" s="36"/>
      <c r="G830" s="18"/>
      <c r="H830" s="18"/>
      <c r="I830" s="36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36"/>
      <c r="B831" s="36"/>
      <c r="C831" s="12"/>
      <c r="D831" s="18"/>
      <c r="E831" s="36"/>
      <c r="F831" s="36"/>
      <c r="G831" s="18"/>
      <c r="H831" s="18"/>
      <c r="I831" s="36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36"/>
      <c r="B832" s="36"/>
      <c r="C832" s="12"/>
      <c r="D832" s="18"/>
      <c r="E832" s="36"/>
      <c r="F832" s="36"/>
      <c r="G832" s="18"/>
      <c r="H832" s="18"/>
      <c r="I832" s="36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36"/>
      <c r="B833" s="36"/>
      <c r="C833" s="12"/>
      <c r="D833" s="18"/>
      <c r="E833" s="36"/>
      <c r="F833" s="36"/>
      <c r="G833" s="18"/>
      <c r="H833" s="18"/>
      <c r="I833" s="36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36"/>
      <c r="B834" s="36"/>
      <c r="C834" s="12"/>
      <c r="D834" s="18"/>
      <c r="E834" s="36"/>
      <c r="F834" s="36"/>
      <c r="G834" s="18"/>
      <c r="H834" s="18"/>
      <c r="I834" s="36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36"/>
      <c r="B835" s="36"/>
      <c r="C835" s="12"/>
      <c r="D835" s="18"/>
      <c r="E835" s="36"/>
      <c r="F835" s="36"/>
      <c r="G835" s="18"/>
      <c r="H835" s="18"/>
      <c r="I835" s="36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36"/>
      <c r="B836" s="36"/>
      <c r="C836" s="12"/>
      <c r="D836" s="18"/>
      <c r="E836" s="36"/>
      <c r="F836" s="36"/>
      <c r="G836" s="18"/>
      <c r="H836" s="18"/>
      <c r="I836" s="36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36"/>
      <c r="B837" s="36"/>
      <c r="C837" s="12"/>
      <c r="D837" s="18"/>
      <c r="E837" s="36"/>
      <c r="F837" s="36"/>
      <c r="G837" s="18"/>
      <c r="H837" s="18"/>
      <c r="I837" s="36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36"/>
      <c r="B838" s="36"/>
      <c r="C838" s="12"/>
      <c r="D838" s="18"/>
      <c r="E838" s="36"/>
      <c r="F838" s="36"/>
      <c r="G838" s="18"/>
      <c r="H838" s="18"/>
      <c r="I838" s="36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36"/>
      <c r="B839" s="36"/>
      <c r="C839" s="12"/>
      <c r="D839" s="18"/>
      <c r="E839" s="36"/>
      <c r="F839" s="36"/>
      <c r="G839" s="18"/>
      <c r="H839" s="18"/>
      <c r="I839" s="36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36"/>
      <c r="B840" s="36"/>
      <c r="C840" s="12"/>
      <c r="D840" s="18"/>
      <c r="E840" s="36"/>
      <c r="F840" s="36"/>
      <c r="G840" s="18"/>
      <c r="H840" s="18"/>
      <c r="I840" s="36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36"/>
      <c r="B841" s="36"/>
      <c r="C841" s="12"/>
      <c r="D841" s="18"/>
      <c r="E841" s="36"/>
      <c r="F841" s="36"/>
      <c r="G841" s="18"/>
      <c r="H841" s="18"/>
      <c r="I841" s="36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36"/>
      <c r="B842" s="36"/>
      <c r="C842" s="12"/>
      <c r="D842" s="18"/>
      <c r="E842" s="36"/>
      <c r="F842" s="36"/>
      <c r="G842" s="18"/>
      <c r="H842" s="18"/>
      <c r="I842" s="36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36"/>
      <c r="B843" s="36"/>
      <c r="C843" s="12"/>
      <c r="D843" s="18"/>
      <c r="E843" s="36"/>
      <c r="F843" s="36"/>
      <c r="G843" s="18"/>
      <c r="H843" s="18"/>
      <c r="I843" s="36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36"/>
      <c r="B844" s="36"/>
      <c r="C844" s="12"/>
      <c r="D844" s="18"/>
      <c r="E844" s="36"/>
      <c r="F844" s="36"/>
      <c r="G844" s="18"/>
      <c r="H844" s="18"/>
      <c r="I844" s="36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36"/>
      <c r="B845" s="36"/>
      <c r="C845" s="12"/>
      <c r="D845" s="18"/>
      <c r="E845" s="36"/>
      <c r="F845" s="36"/>
      <c r="G845" s="18"/>
      <c r="H845" s="18"/>
      <c r="I845" s="36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36"/>
      <c r="B846" s="36"/>
      <c r="C846" s="12"/>
      <c r="D846" s="18"/>
      <c r="E846" s="36"/>
      <c r="F846" s="36"/>
      <c r="G846" s="18"/>
      <c r="H846" s="18"/>
      <c r="I846" s="36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36"/>
      <c r="B847" s="36"/>
      <c r="C847" s="12"/>
      <c r="D847" s="18"/>
      <c r="E847" s="36"/>
      <c r="F847" s="36"/>
      <c r="G847" s="18"/>
      <c r="H847" s="18"/>
      <c r="I847" s="36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36"/>
      <c r="B848" s="36"/>
      <c r="C848" s="12"/>
      <c r="D848" s="18"/>
      <c r="E848" s="36"/>
      <c r="F848" s="36"/>
      <c r="G848" s="18"/>
      <c r="H848" s="18"/>
      <c r="I848" s="36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36"/>
      <c r="B849" s="36"/>
      <c r="C849" s="12"/>
      <c r="D849" s="18"/>
      <c r="E849" s="36"/>
      <c r="F849" s="36"/>
      <c r="G849" s="18"/>
      <c r="H849" s="18"/>
      <c r="I849" s="36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36"/>
      <c r="B850" s="36"/>
      <c r="C850" s="12"/>
      <c r="D850" s="18"/>
      <c r="E850" s="36"/>
      <c r="F850" s="36"/>
      <c r="G850" s="18"/>
      <c r="H850" s="18"/>
      <c r="I850" s="36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36"/>
      <c r="B851" s="36"/>
      <c r="C851" s="12"/>
      <c r="D851" s="18"/>
      <c r="E851" s="36"/>
      <c r="F851" s="36"/>
      <c r="G851" s="18"/>
      <c r="H851" s="18"/>
      <c r="I851" s="36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36"/>
      <c r="B852" s="36"/>
      <c r="C852" s="12"/>
      <c r="D852" s="18"/>
      <c r="E852" s="36"/>
      <c r="F852" s="36"/>
      <c r="G852" s="18"/>
      <c r="H852" s="18"/>
      <c r="I852" s="36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36"/>
      <c r="B853" s="36"/>
      <c r="C853" s="12"/>
      <c r="D853" s="18"/>
      <c r="E853" s="36"/>
      <c r="F853" s="36"/>
      <c r="G853" s="18"/>
      <c r="H853" s="18"/>
      <c r="I853" s="36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36"/>
      <c r="B854" s="36"/>
      <c r="C854" s="12"/>
      <c r="D854" s="18"/>
      <c r="E854" s="36"/>
      <c r="F854" s="36"/>
      <c r="G854" s="18"/>
      <c r="H854" s="18"/>
      <c r="I854" s="36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36"/>
      <c r="B855" s="36"/>
      <c r="C855" s="12"/>
      <c r="D855" s="18"/>
      <c r="E855" s="36"/>
      <c r="F855" s="36"/>
      <c r="G855" s="18"/>
      <c r="H855" s="18"/>
      <c r="I855" s="36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36"/>
      <c r="B856" s="36"/>
      <c r="C856" s="12"/>
      <c r="D856" s="18"/>
      <c r="E856" s="36"/>
      <c r="F856" s="36"/>
      <c r="G856" s="18"/>
      <c r="H856" s="18"/>
      <c r="I856" s="36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36"/>
      <c r="B857" s="36"/>
      <c r="C857" s="12"/>
      <c r="D857" s="18"/>
      <c r="E857" s="36"/>
      <c r="F857" s="36"/>
      <c r="G857" s="18"/>
      <c r="H857" s="18"/>
      <c r="I857" s="36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36"/>
      <c r="B858" s="36"/>
      <c r="C858" s="12"/>
      <c r="D858" s="18"/>
      <c r="E858" s="36"/>
      <c r="F858" s="36"/>
      <c r="G858" s="18"/>
      <c r="H858" s="18"/>
      <c r="I858" s="36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36"/>
      <c r="B859" s="36"/>
      <c r="C859" s="12"/>
      <c r="D859" s="18"/>
      <c r="E859" s="36"/>
      <c r="F859" s="36"/>
      <c r="G859" s="18"/>
      <c r="H859" s="18"/>
      <c r="I859" s="36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36"/>
      <c r="B860" s="36"/>
      <c r="C860" s="12"/>
      <c r="D860" s="18"/>
      <c r="E860" s="36"/>
      <c r="F860" s="36"/>
      <c r="G860" s="18"/>
      <c r="H860" s="18"/>
      <c r="I860" s="36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36"/>
      <c r="B861" s="36"/>
      <c r="C861" s="12"/>
      <c r="D861" s="18"/>
      <c r="E861" s="36"/>
      <c r="F861" s="36"/>
      <c r="G861" s="18"/>
      <c r="H861" s="18"/>
      <c r="I861" s="36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36"/>
      <c r="B862" s="36"/>
      <c r="C862" s="12"/>
      <c r="D862" s="18"/>
      <c r="E862" s="36"/>
      <c r="F862" s="36"/>
      <c r="G862" s="18"/>
      <c r="H862" s="18"/>
      <c r="I862" s="36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36"/>
      <c r="B863" s="36"/>
      <c r="C863" s="12"/>
      <c r="D863" s="18"/>
      <c r="E863" s="36"/>
      <c r="F863" s="36"/>
      <c r="G863" s="18"/>
      <c r="H863" s="18"/>
      <c r="I863" s="36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36"/>
      <c r="B864" s="36"/>
      <c r="C864" s="12"/>
      <c r="D864" s="18"/>
      <c r="E864" s="36"/>
      <c r="F864" s="36"/>
      <c r="G864" s="18"/>
      <c r="H864" s="18"/>
      <c r="I864" s="36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36"/>
      <c r="B865" s="36"/>
      <c r="C865" s="12"/>
      <c r="D865" s="18"/>
      <c r="E865" s="36"/>
      <c r="F865" s="36"/>
      <c r="G865" s="18"/>
      <c r="H865" s="18"/>
      <c r="I865" s="36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36"/>
      <c r="B866" s="36"/>
      <c r="C866" s="12"/>
      <c r="D866" s="18"/>
      <c r="E866" s="36"/>
      <c r="F866" s="36"/>
      <c r="G866" s="18"/>
      <c r="H866" s="18"/>
      <c r="I866" s="36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36"/>
      <c r="B867" s="36"/>
      <c r="C867" s="12"/>
      <c r="D867" s="18"/>
      <c r="E867" s="36"/>
      <c r="F867" s="36"/>
      <c r="G867" s="18"/>
      <c r="H867" s="18"/>
      <c r="I867" s="36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36"/>
      <c r="B868" s="36"/>
      <c r="C868" s="12"/>
      <c r="D868" s="18"/>
      <c r="E868" s="36"/>
      <c r="F868" s="36"/>
      <c r="G868" s="18"/>
      <c r="H868" s="18"/>
      <c r="I868" s="36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36"/>
      <c r="B869" s="36"/>
      <c r="C869" s="12"/>
      <c r="D869" s="18"/>
      <c r="E869" s="36"/>
      <c r="F869" s="36"/>
      <c r="G869" s="18"/>
      <c r="H869" s="18"/>
      <c r="I869" s="36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36"/>
      <c r="B870" s="36"/>
      <c r="C870" s="12"/>
      <c r="D870" s="18"/>
      <c r="E870" s="36"/>
      <c r="F870" s="36"/>
      <c r="G870" s="18"/>
      <c r="H870" s="18"/>
      <c r="I870" s="36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36"/>
      <c r="B871" s="36"/>
      <c r="C871" s="12"/>
      <c r="D871" s="18"/>
      <c r="E871" s="36"/>
      <c r="F871" s="36"/>
      <c r="G871" s="18"/>
      <c r="H871" s="18"/>
      <c r="I871" s="36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36"/>
      <c r="B872" s="36"/>
      <c r="C872" s="12"/>
      <c r="D872" s="18"/>
      <c r="E872" s="36"/>
      <c r="F872" s="36"/>
      <c r="G872" s="18"/>
      <c r="H872" s="18"/>
      <c r="I872" s="36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36"/>
      <c r="B873" s="36"/>
      <c r="C873" s="12"/>
      <c r="D873" s="18"/>
      <c r="E873" s="36"/>
      <c r="F873" s="36"/>
      <c r="G873" s="18"/>
      <c r="H873" s="18"/>
      <c r="I873" s="36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36"/>
      <c r="B874" s="36"/>
      <c r="C874" s="12"/>
      <c r="D874" s="18"/>
      <c r="E874" s="36"/>
      <c r="F874" s="36"/>
      <c r="G874" s="18"/>
      <c r="H874" s="18"/>
      <c r="I874" s="36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36"/>
      <c r="B875" s="36"/>
      <c r="C875" s="12"/>
      <c r="D875" s="18"/>
      <c r="E875" s="36"/>
      <c r="F875" s="36"/>
      <c r="G875" s="18"/>
      <c r="H875" s="18"/>
      <c r="I875" s="36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36"/>
      <c r="B876" s="36"/>
      <c r="C876" s="12"/>
      <c r="D876" s="18"/>
      <c r="E876" s="36"/>
      <c r="F876" s="36"/>
      <c r="G876" s="18"/>
      <c r="H876" s="18"/>
      <c r="I876" s="36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36"/>
      <c r="B877" s="36"/>
      <c r="C877" s="12"/>
      <c r="D877" s="18"/>
      <c r="E877" s="36"/>
      <c r="F877" s="36"/>
      <c r="G877" s="18"/>
      <c r="H877" s="18"/>
      <c r="I877" s="36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36"/>
      <c r="B878" s="36"/>
      <c r="C878" s="12"/>
      <c r="D878" s="18"/>
      <c r="E878" s="36"/>
      <c r="F878" s="36"/>
      <c r="G878" s="18"/>
      <c r="H878" s="18"/>
      <c r="I878" s="36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36"/>
      <c r="B879" s="36"/>
      <c r="C879" s="12"/>
      <c r="D879" s="18"/>
      <c r="E879" s="36"/>
      <c r="F879" s="36"/>
      <c r="G879" s="18"/>
      <c r="H879" s="18"/>
      <c r="I879" s="36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36"/>
      <c r="B880" s="36"/>
      <c r="C880" s="12"/>
      <c r="D880" s="18"/>
      <c r="E880" s="36"/>
      <c r="F880" s="36"/>
      <c r="G880" s="18"/>
      <c r="H880" s="18"/>
      <c r="I880" s="36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36"/>
      <c r="B881" s="36"/>
      <c r="C881" s="12"/>
      <c r="D881" s="18"/>
      <c r="E881" s="36"/>
      <c r="F881" s="36"/>
      <c r="G881" s="18"/>
      <c r="H881" s="18"/>
      <c r="I881" s="36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36"/>
      <c r="B882" s="36"/>
      <c r="C882" s="12"/>
      <c r="D882" s="18"/>
      <c r="E882" s="36"/>
      <c r="F882" s="36"/>
      <c r="G882" s="18"/>
      <c r="H882" s="18"/>
      <c r="I882" s="36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36"/>
      <c r="B883" s="36"/>
      <c r="C883" s="12"/>
      <c r="D883" s="18"/>
      <c r="E883" s="36"/>
      <c r="F883" s="36"/>
      <c r="G883" s="18"/>
      <c r="H883" s="18"/>
      <c r="I883" s="36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36"/>
      <c r="B884" s="36"/>
      <c r="C884" s="12"/>
      <c r="D884" s="18"/>
      <c r="E884" s="36"/>
      <c r="F884" s="36"/>
      <c r="G884" s="18"/>
      <c r="H884" s="18"/>
      <c r="I884" s="36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36"/>
      <c r="B885" s="36"/>
      <c r="C885" s="12"/>
      <c r="D885" s="18"/>
      <c r="E885" s="36"/>
      <c r="F885" s="36"/>
      <c r="G885" s="18"/>
      <c r="H885" s="18"/>
      <c r="I885" s="36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36"/>
      <c r="B886" s="36"/>
      <c r="C886" s="12"/>
      <c r="D886" s="18"/>
      <c r="E886" s="36"/>
      <c r="F886" s="36"/>
      <c r="G886" s="18"/>
      <c r="H886" s="18"/>
      <c r="I886" s="36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36"/>
      <c r="B887" s="36"/>
      <c r="C887" s="12"/>
      <c r="D887" s="18"/>
      <c r="E887" s="36"/>
      <c r="F887" s="36"/>
      <c r="G887" s="18"/>
      <c r="H887" s="18"/>
      <c r="I887" s="36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36"/>
      <c r="B888" s="36"/>
      <c r="C888" s="12"/>
      <c r="D888" s="18"/>
      <c r="E888" s="36"/>
      <c r="F888" s="36"/>
      <c r="G888" s="18"/>
      <c r="H888" s="18"/>
      <c r="I888" s="36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36"/>
      <c r="B889" s="36"/>
      <c r="C889" s="12"/>
      <c r="D889" s="18"/>
      <c r="E889" s="36"/>
      <c r="F889" s="36"/>
      <c r="G889" s="18"/>
      <c r="H889" s="18"/>
      <c r="I889" s="36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36"/>
      <c r="B890" s="36"/>
      <c r="C890" s="12"/>
      <c r="D890" s="18"/>
      <c r="E890" s="36"/>
      <c r="F890" s="36"/>
      <c r="G890" s="18"/>
      <c r="H890" s="18"/>
      <c r="I890" s="36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36"/>
      <c r="B891" s="36"/>
      <c r="C891" s="12"/>
      <c r="D891" s="18"/>
      <c r="E891" s="36"/>
      <c r="F891" s="36"/>
      <c r="G891" s="18"/>
      <c r="H891" s="18"/>
      <c r="I891" s="36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36"/>
      <c r="B892" s="36"/>
      <c r="C892" s="12"/>
      <c r="D892" s="18"/>
      <c r="E892" s="36"/>
      <c r="F892" s="36"/>
      <c r="G892" s="18"/>
      <c r="H892" s="18"/>
      <c r="I892" s="36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36"/>
      <c r="B893" s="36"/>
      <c r="C893" s="12"/>
      <c r="D893" s="18"/>
      <c r="E893" s="36"/>
      <c r="F893" s="36"/>
      <c r="G893" s="18"/>
      <c r="H893" s="18"/>
      <c r="I893" s="36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36"/>
      <c r="B894" s="36"/>
      <c r="C894" s="12"/>
      <c r="D894" s="18"/>
      <c r="E894" s="36"/>
      <c r="F894" s="36"/>
      <c r="G894" s="18"/>
      <c r="H894" s="18"/>
      <c r="I894" s="36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36"/>
      <c r="B895" s="36"/>
      <c r="C895" s="12"/>
      <c r="D895" s="18"/>
      <c r="E895" s="36"/>
      <c r="F895" s="36"/>
      <c r="G895" s="18"/>
      <c r="H895" s="18"/>
      <c r="I895" s="36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36"/>
      <c r="B896" s="36"/>
      <c r="C896" s="12"/>
      <c r="D896" s="18"/>
      <c r="E896" s="36"/>
      <c r="F896" s="36"/>
      <c r="G896" s="18"/>
      <c r="H896" s="18"/>
      <c r="I896" s="36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36"/>
      <c r="B897" s="36"/>
      <c r="C897" s="12"/>
      <c r="D897" s="18"/>
      <c r="E897" s="36"/>
      <c r="F897" s="36"/>
      <c r="G897" s="18"/>
      <c r="H897" s="18"/>
      <c r="I897" s="36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36"/>
      <c r="B898" s="36"/>
      <c r="C898" s="12"/>
      <c r="D898" s="18"/>
      <c r="E898" s="36"/>
      <c r="F898" s="36"/>
      <c r="G898" s="18"/>
      <c r="H898" s="18"/>
      <c r="I898" s="36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36"/>
      <c r="B899" s="36"/>
      <c r="C899" s="12"/>
      <c r="D899" s="18"/>
      <c r="E899" s="36"/>
      <c r="F899" s="36"/>
      <c r="G899" s="18"/>
      <c r="H899" s="18"/>
      <c r="I899" s="36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36"/>
      <c r="B900" s="36"/>
      <c r="C900" s="12"/>
      <c r="D900" s="18"/>
      <c r="E900" s="36"/>
      <c r="F900" s="36"/>
      <c r="G900" s="18"/>
      <c r="H900" s="18"/>
      <c r="I900" s="36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36"/>
      <c r="B901" s="36"/>
      <c r="C901" s="12"/>
      <c r="D901" s="18"/>
      <c r="E901" s="36"/>
      <c r="F901" s="36"/>
      <c r="G901" s="18"/>
      <c r="H901" s="18"/>
      <c r="I901" s="36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36"/>
      <c r="B902" s="36"/>
      <c r="C902" s="12"/>
      <c r="D902" s="18"/>
      <c r="E902" s="36"/>
      <c r="F902" s="36"/>
      <c r="G902" s="18"/>
      <c r="H902" s="18"/>
      <c r="I902" s="36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36"/>
      <c r="B903" s="36"/>
      <c r="C903" s="12"/>
      <c r="D903" s="18"/>
      <c r="E903" s="36"/>
      <c r="F903" s="36"/>
      <c r="G903" s="18"/>
      <c r="H903" s="18"/>
      <c r="I903" s="36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36"/>
      <c r="B904" s="36"/>
      <c r="C904" s="12"/>
      <c r="D904" s="18"/>
      <c r="E904" s="36"/>
      <c r="F904" s="36"/>
      <c r="G904" s="18"/>
      <c r="H904" s="18"/>
      <c r="I904" s="36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36"/>
      <c r="B905" s="36"/>
      <c r="C905" s="12"/>
      <c r="D905" s="18"/>
      <c r="E905" s="36"/>
      <c r="F905" s="36"/>
      <c r="G905" s="18"/>
      <c r="H905" s="18"/>
      <c r="I905" s="36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36"/>
      <c r="B906" s="36"/>
      <c r="C906" s="12"/>
      <c r="D906" s="18"/>
      <c r="E906" s="36"/>
      <c r="F906" s="36"/>
      <c r="G906" s="18"/>
      <c r="H906" s="18"/>
      <c r="I906" s="36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36"/>
      <c r="B907" s="36"/>
      <c r="C907" s="12"/>
      <c r="D907" s="18"/>
      <c r="E907" s="36"/>
      <c r="F907" s="36"/>
      <c r="G907" s="18"/>
      <c r="H907" s="18"/>
      <c r="I907" s="36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36"/>
      <c r="B908" s="36"/>
      <c r="C908" s="12"/>
      <c r="D908" s="18"/>
      <c r="E908" s="36"/>
      <c r="F908" s="36"/>
      <c r="G908" s="18"/>
      <c r="H908" s="18"/>
      <c r="I908" s="36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36"/>
      <c r="B909" s="36"/>
      <c r="C909" s="12"/>
      <c r="D909" s="18"/>
      <c r="E909" s="36"/>
      <c r="F909" s="36"/>
      <c r="G909" s="18"/>
      <c r="H909" s="18"/>
      <c r="I909" s="36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36"/>
      <c r="B910" s="36"/>
      <c r="C910" s="12"/>
      <c r="D910" s="18"/>
      <c r="E910" s="36"/>
      <c r="F910" s="36"/>
      <c r="G910" s="18"/>
      <c r="H910" s="18"/>
      <c r="I910" s="36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36"/>
      <c r="B911" s="36"/>
      <c r="C911" s="12"/>
      <c r="D911" s="18"/>
      <c r="E911" s="36"/>
      <c r="F911" s="36"/>
      <c r="G911" s="18"/>
      <c r="H911" s="18"/>
      <c r="I911" s="36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36"/>
      <c r="B912" s="36"/>
      <c r="C912" s="12"/>
      <c r="D912" s="18"/>
      <c r="E912" s="36"/>
      <c r="F912" s="36"/>
      <c r="G912" s="18"/>
      <c r="H912" s="18"/>
      <c r="I912" s="36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36"/>
      <c r="B913" s="36"/>
      <c r="C913" s="12"/>
      <c r="D913" s="18"/>
      <c r="E913" s="36"/>
      <c r="F913" s="36"/>
      <c r="G913" s="18"/>
      <c r="H913" s="18"/>
      <c r="I913" s="36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36"/>
      <c r="B914" s="36"/>
      <c r="C914" s="12"/>
      <c r="D914" s="18"/>
      <c r="E914" s="36"/>
      <c r="F914" s="36"/>
      <c r="G914" s="18"/>
      <c r="H914" s="18"/>
      <c r="I914" s="36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36"/>
      <c r="B915" s="36"/>
      <c r="C915" s="12"/>
      <c r="D915" s="18"/>
      <c r="E915" s="36"/>
      <c r="F915" s="36"/>
      <c r="G915" s="18"/>
      <c r="H915" s="18"/>
      <c r="I915" s="36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36"/>
      <c r="B916" s="36"/>
      <c r="C916" s="12"/>
      <c r="D916" s="18"/>
      <c r="E916" s="36"/>
      <c r="F916" s="36"/>
      <c r="G916" s="18"/>
      <c r="H916" s="18"/>
      <c r="I916" s="36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36"/>
      <c r="B917" s="36"/>
      <c r="C917" s="12"/>
      <c r="D917" s="18"/>
      <c r="E917" s="36"/>
      <c r="F917" s="36"/>
      <c r="G917" s="18"/>
      <c r="H917" s="18"/>
      <c r="I917" s="36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36"/>
      <c r="B918" s="36"/>
      <c r="C918" s="12"/>
      <c r="D918" s="18"/>
      <c r="E918" s="36"/>
      <c r="F918" s="36"/>
      <c r="G918" s="18"/>
      <c r="H918" s="18"/>
      <c r="I918" s="36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36"/>
      <c r="B919" s="36"/>
      <c r="C919" s="12"/>
      <c r="D919" s="18"/>
      <c r="E919" s="36"/>
      <c r="F919" s="36"/>
      <c r="G919" s="18"/>
      <c r="H919" s="18"/>
      <c r="I919" s="36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36"/>
      <c r="B920" s="36"/>
      <c r="C920" s="12"/>
      <c r="D920" s="18"/>
      <c r="E920" s="36"/>
      <c r="F920" s="36"/>
      <c r="G920" s="18"/>
      <c r="H920" s="18"/>
      <c r="I920" s="36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36"/>
      <c r="B921" s="36"/>
      <c r="C921" s="12"/>
      <c r="D921" s="18"/>
      <c r="E921" s="36"/>
      <c r="F921" s="36"/>
      <c r="G921" s="18"/>
      <c r="H921" s="18"/>
      <c r="I921" s="36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36"/>
      <c r="B922" s="36"/>
      <c r="C922" s="12"/>
      <c r="D922" s="18"/>
      <c r="E922" s="36"/>
      <c r="F922" s="36"/>
      <c r="G922" s="18"/>
      <c r="H922" s="18"/>
      <c r="I922" s="36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36"/>
      <c r="B923" s="36"/>
      <c r="C923" s="12"/>
      <c r="D923" s="18"/>
      <c r="E923" s="36"/>
      <c r="F923" s="36"/>
      <c r="G923" s="18"/>
      <c r="H923" s="18"/>
      <c r="I923" s="36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36"/>
      <c r="B924" s="36"/>
      <c r="C924" s="12"/>
      <c r="D924" s="18"/>
      <c r="E924" s="36"/>
      <c r="F924" s="36"/>
      <c r="G924" s="18"/>
      <c r="H924" s="18"/>
      <c r="I924" s="36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36"/>
      <c r="B925" s="36"/>
      <c r="C925" s="12"/>
      <c r="D925" s="18"/>
      <c r="E925" s="36"/>
      <c r="F925" s="36"/>
      <c r="G925" s="18"/>
      <c r="H925" s="18"/>
      <c r="I925" s="36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36"/>
      <c r="B926" s="36"/>
      <c r="C926" s="12"/>
      <c r="D926" s="18"/>
      <c r="E926" s="36"/>
      <c r="F926" s="36"/>
      <c r="G926" s="18"/>
      <c r="H926" s="18"/>
      <c r="I926" s="36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36"/>
      <c r="B927" s="36"/>
      <c r="C927" s="12"/>
      <c r="D927" s="18"/>
      <c r="E927" s="36"/>
      <c r="F927" s="36"/>
      <c r="G927" s="18"/>
      <c r="H927" s="18"/>
      <c r="I927" s="36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36"/>
      <c r="B928" s="36"/>
      <c r="C928" s="12"/>
      <c r="D928" s="18"/>
      <c r="E928" s="36"/>
      <c r="F928" s="36"/>
      <c r="G928" s="18"/>
      <c r="H928" s="18"/>
      <c r="I928" s="36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36"/>
      <c r="B929" s="36"/>
      <c r="C929" s="12"/>
      <c r="D929" s="18"/>
      <c r="E929" s="36"/>
      <c r="F929" s="36"/>
      <c r="G929" s="18"/>
      <c r="H929" s="18"/>
      <c r="I929" s="36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36"/>
      <c r="B930" s="36"/>
      <c r="C930" s="12"/>
      <c r="D930" s="18"/>
      <c r="E930" s="36"/>
      <c r="F930" s="36"/>
      <c r="G930" s="18"/>
      <c r="H930" s="18"/>
      <c r="I930" s="36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36"/>
      <c r="B931" s="36"/>
      <c r="C931" s="12"/>
      <c r="D931" s="18"/>
      <c r="E931" s="36"/>
      <c r="F931" s="36"/>
      <c r="G931" s="18"/>
      <c r="H931" s="18"/>
      <c r="I931" s="36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36"/>
      <c r="B932" s="36"/>
      <c r="C932" s="12"/>
      <c r="D932" s="18"/>
      <c r="E932" s="36"/>
      <c r="F932" s="36"/>
      <c r="G932" s="18"/>
      <c r="H932" s="18"/>
      <c r="I932" s="36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36"/>
      <c r="B933" s="36"/>
      <c r="C933" s="12"/>
      <c r="D933" s="18"/>
      <c r="E933" s="36"/>
      <c r="F933" s="36"/>
      <c r="G933" s="18"/>
      <c r="H933" s="18"/>
      <c r="I933" s="36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36"/>
      <c r="B934" s="36"/>
      <c r="C934" s="12"/>
      <c r="D934" s="18"/>
      <c r="E934" s="36"/>
      <c r="F934" s="36"/>
      <c r="G934" s="18"/>
      <c r="H934" s="18"/>
      <c r="I934" s="36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36"/>
      <c r="B935" s="36"/>
      <c r="C935" s="12"/>
      <c r="D935" s="18"/>
      <c r="E935" s="36"/>
      <c r="F935" s="36"/>
      <c r="G935" s="18"/>
      <c r="H935" s="18"/>
      <c r="I935" s="36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36"/>
      <c r="B936" s="36"/>
      <c r="C936" s="12"/>
      <c r="D936" s="18"/>
      <c r="E936" s="36"/>
      <c r="F936" s="36"/>
      <c r="G936" s="18"/>
      <c r="H936" s="18"/>
      <c r="I936" s="36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36"/>
      <c r="B937" s="36"/>
      <c r="C937" s="12"/>
      <c r="D937" s="18"/>
      <c r="E937" s="36"/>
      <c r="F937" s="36"/>
      <c r="G937" s="18"/>
      <c r="H937" s="18"/>
      <c r="I937" s="36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36"/>
      <c r="B938" s="36"/>
      <c r="C938" s="12"/>
      <c r="D938" s="18"/>
      <c r="E938" s="36"/>
      <c r="F938" s="36"/>
      <c r="G938" s="18"/>
      <c r="H938" s="18"/>
      <c r="I938" s="36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36"/>
      <c r="B939" s="36"/>
      <c r="C939" s="12"/>
      <c r="D939" s="18"/>
      <c r="E939" s="36"/>
      <c r="F939" s="36"/>
      <c r="G939" s="18"/>
      <c r="H939" s="18"/>
      <c r="I939" s="36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36"/>
      <c r="B940" s="36"/>
      <c r="C940" s="12"/>
      <c r="D940" s="18"/>
      <c r="E940" s="36"/>
      <c r="F940" s="36"/>
      <c r="G940" s="18"/>
      <c r="H940" s="18"/>
      <c r="I940" s="36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36"/>
      <c r="B941" s="36"/>
      <c r="C941" s="12"/>
      <c r="D941" s="18"/>
      <c r="E941" s="36"/>
      <c r="F941" s="36"/>
      <c r="G941" s="18"/>
      <c r="H941" s="18"/>
      <c r="I941" s="36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36"/>
      <c r="B942" s="36"/>
      <c r="C942" s="12"/>
      <c r="D942" s="18"/>
      <c r="E942" s="36"/>
      <c r="F942" s="36"/>
      <c r="G942" s="18"/>
      <c r="H942" s="18"/>
      <c r="I942" s="36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36"/>
      <c r="B943" s="36"/>
      <c r="C943" s="12"/>
      <c r="D943" s="18"/>
      <c r="E943" s="36"/>
      <c r="F943" s="36"/>
      <c r="G943" s="18"/>
      <c r="H943" s="18"/>
      <c r="I943" s="36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36"/>
      <c r="B944" s="36"/>
      <c r="C944" s="12"/>
      <c r="D944" s="18"/>
      <c r="E944" s="36"/>
      <c r="F944" s="36"/>
      <c r="G944" s="18"/>
      <c r="H944" s="18"/>
      <c r="I944" s="36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36"/>
      <c r="B945" s="36"/>
      <c r="C945" s="12"/>
      <c r="D945" s="18"/>
      <c r="E945" s="36"/>
      <c r="F945" s="36"/>
      <c r="G945" s="18"/>
      <c r="H945" s="18"/>
      <c r="I945" s="36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36"/>
      <c r="B946" s="36"/>
      <c r="C946" s="12"/>
      <c r="D946" s="18"/>
      <c r="E946" s="36"/>
      <c r="F946" s="36"/>
      <c r="G946" s="18"/>
      <c r="H946" s="18"/>
      <c r="I946" s="36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36"/>
      <c r="B947" s="36"/>
      <c r="C947" s="12"/>
      <c r="D947" s="18"/>
      <c r="E947" s="36"/>
      <c r="F947" s="36"/>
      <c r="G947" s="18"/>
      <c r="H947" s="18"/>
      <c r="I947" s="36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36"/>
      <c r="B948" s="36"/>
      <c r="C948" s="12"/>
      <c r="D948" s="18"/>
      <c r="E948" s="36"/>
      <c r="F948" s="36"/>
      <c r="G948" s="18"/>
      <c r="H948" s="18"/>
      <c r="I948" s="36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36"/>
      <c r="B949" s="36"/>
      <c r="C949" s="12"/>
      <c r="D949" s="18"/>
      <c r="E949" s="36"/>
      <c r="F949" s="36"/>
      <c r="G949" s="18"/>
      <c r="H949" s="18"/>
      <c r="I949" s="36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36"/>
      <c r="B950" s="36"/>
      <c r="C950" s="12"/>
      <c r="D950" s="18"/>
      <c r="E950" s="36"/>
      <c r="F950" s="36"/>
      <c r="G950" s="18"/>
      <c r="H950" s="18"/>
      <c r="I950" s="36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36"/>
      <c r="B951" s="36"/>
      <c r="C951" s="12"/>
      <c r="D951" s="18"/>
      <c r="E951" s="36"/>
      <c r="F951" s="36"/>
      <c r="G951" s="18"/>
      <c r="H951" s="18"/>
      <c r="I951" s="36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36"/>
      <c r="B952" s="36"/>
      <c r="C952" s="12"/>
      <c r="D952" s="18"/>
      <c r="E952" s="36"/>
      <c r="F952" s="36"/>
      <c r="G952" s="18"/>
      <c r="H952" s="18"/>
      <c r="I952" s="36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36"/>
      <c r="B953" s="36"/>
      <c r="C953" s="12"/>
      <c r="D953" s="18"/>
      <c r="E953" s="36"/>
      <c r="F953" s="36"/>
      <c r="G953" s="18"/>
      <c r="H953" s="18"/>
      <c r="I953" s="36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36"/>
      <c r="B954" s="36"/>
      <c r="C954" s="12"/>
      <c r="D954" s="18"/>
      <c r="E954" s="36"/>
      <c r="F954" s="36"/>
      <c r="G954" s="18"/>
      <c r="H954" s="18"/>
      <c r="I954" s="36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36"/>
      <c r="B955" s="36"/>
      <c r="C955" s="12"/>
      <c r="D955" s="18"/>
      <c r="E955" s="36"/>
      <c r="F955" s="36"/>
      <c r="G955" s="18"/>
      <c r="H955" s="18"/>
      <c r="I955" s="36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36"/>
      <c r="B956" s="36"/>
      <c r="C956" s="12"/>
      <c r="D956" s="18"/>
      <c r="E956" s="36"/>
      <c r="F956" s="36"/>
      <c r="G956" s="18"/>
      <c r="H956" s="18"/>
      <c r="I956" s="36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36"/>
      <c r="B957" s="36"/>
      <c r="C957" s="12"/>
      <c r="D957" s="18"/>
      <c r="E957" s="36"/>
      <c r="F957" s="36"/>
      <c r="G957" s="18"/>
      <c r="H957" s="18"/>
      <c r="I957" s="36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36"/>
      <c r="B958" s="36"/>
      <c r="C958" s="12"/>
      <c r="D958" s="18"/>
      <c r="E958" s="36"/>
      <c r="F958" s="36"/>
      <c r="G958" s="18"/>
      <c r="H958" s="18"/>
      <c r="I958" s="36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36"/>
      <c r="B959" s="36"/>
      <c r="C959" s="12"/>
      <c r="D959" s="18"/>
      <c r="E959" s="36"/>
      <c r="F959" s="36"/>
      <c r="G959" s="18"/>
      <c r="H959" s="18"/>
      <c r="I959" s="36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36"/>
      <c r="B960" s="36"/>
      <c r="C960" s="12"/>
      <c r="D960" s="18"/>
      <c r="E960" s="36"/>
      <c r="F960" s="36"/>
      <c r="G960" s="18"/>
      <c r="H960" s="18"/>
      <c r="I960" s="36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36"/>
      <c r="B961" s="36"/>
      <c r="C961" s="12"/>
      <c r="D961" s="18"/>
      <c r="E961" s="36"/>
      <c r="F961" s="36"/>
      <c r="G961" s="18"/>
      <c r="H961" s="18"/>
      <c r="I961" s="36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36"/>
      <c r="B962" s="36"/>
      <c r="C962" s="12"/>
      <c r="D962" s="18"/>
      <c r="E962" s="36"/>
      <c r="F962" s="36"/>
      <c r="G962" s="18"/>
      <c r="H962" s="18"/>
      <c r="I962" s="36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36"/>
      <c r="B963" s="36"/>
      <c r="C963" s="12"/>
      <c r="D963" s="18"/>
      <c r="E963" s="36"/>
      <c r="F963" s="36"/>
      <c r="G963" s="18"/>
      <c r="H963" s="18"/>
      <c r="I963" s="36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36"/>
      <c r="B964" s="36"/>
      <c r="C964" s="12"/>
      <c r="D964" s="18"/>
      <c r="E964" s="36"/>
      <c r="F964" s="36"/>
      <c r="G964" s="18"/>
      <c r="H964" s="18"/>
      <c r="I964" s="36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36"/>
      <c r="B965" s="36"/>
      <c r="C965" s="12"/>
      <c r="D965" s="18"/>
      <c r="E965" s="36"/>
      <c r="F965" s="36"/>
      <c r="G965" s="18"/>
      <c r="H965" s="18"/>
      <c r="I965" s="36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36"/>
      <c r="B966" s="36"/>
      <c r="C966" s="12"/>
      <c r="D966" s="18"/>
      <c r="E966" s="36"/>
      <c r="F966" s="36"/>
      <c r="G966" s="18"/>
      <c r="H966" s="18"/>
      <c r="I966" s="36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36"/>
      <c r="B967" s="36"/>
      <c r="C967" s="12"/>
      <c r="D967" s="18"/>
      <c r="E967" s="36"/>
      <c r="F967" s="36"/>
      <c r="G967" s="18"/>
      <c r="H967" s="18"/>
      <c r="I967" s="36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36"/>
      <c r="B968" s="36"/>
      <c r="C968" s="12"/>
      <c r="D968" s="18"/>
      <c r="E968" s="36"/>
      <c r="F968" s="36"/>
      <c r="G968" s="18"/>
      <c r="H968" s="18"/>
      <c r="I968" s="36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36"/>
      <c r="B969" s="36"/>
      <c r="C969" s="12"/>
      <c r="D969" s="18"/>
      <c r="E969" s="36"/>
      <c r="F969" s="36"/>
      <c r="G969" s="18"/>
      <c r="H969" s="18"/>
      <c r="I969" s="36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36"/>
      <c r="B970" s="36"/>
      <c r="C970" s="12"/>
      <c r="D970" s="18"/>
      <c r="E970" s="36"/>
      <c r="F970" s="36"/>
      <c r="G970" s="18"/>
      <c r="H970" s="18"/>
      <c r="I970" s="36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36"/>
      <c r="B971" s="36"/>
      <c r="C971" s="12"/>
      <c r="D971" s="18"/>
      <c r="E971" s="36"/>
      <c r="F971" s="36"/>
      <c r="G971" s="18"/>
      <c r="H971" s="18"/>
      <c r="I971" s="36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36"/>
      <c r="B972" s="36"/>
      <c r="C972" s="12"/>
      <c r="D972" s="18"/>
      <c r="E972" s="36"/>
      <c r="F972" s="36"/>
      <c r="G972" s="18"/>
      <c r="H972" s="18"/>
      <c r="I972" s="36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36"/>
      <c r="B973" s="36"/>
      <c r="C973" s="12"/>
      <c r="D973" s="18"/>
      <c r="E973" s="36"/>
      <c r="F973" s="36"/>
      <c r="G973" s="18"/>
      <c r="H973" s="18"/>
      <c r="I973" s="36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36"/>
      <c r="B974" s="36"/>
      <c r="C974" s="12"/>
      <c r="D974" s="18"/>
      <c r="E974" s="36"/>
      <c r="F974" s="36"/>
      <c r="G974" s="18"/>
      <c r="H974" s="18"/>
      <c r="I974" s="36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36"/>
      <c r="B975" s="36"/>
      <c r="C975" s="12"/>
      <c r="D975" s="18"/>
      <c r="E975" s="36"/>
      <c r="F975" s="36"/>
      <c r="G975" s="18"/>
      <c r="H975" s="18"/>
      <c r="I975" s="36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36"/>
      <c r="B976" s="36"/>
      <c r="C976" s="12"/>
      <c r="D976" s="18"/>
      <c r="E976" s="36"/>
      <c r="F976" s="36"/>
      <c r="G976" s="18"/>
      <c r="H976" s="18"/>
      <c r="I976" s="36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36"/>
      <c r="B977" s="36"/>
      <c r="C977" s="12"/>
      <c r="D977" s="18"/>
      <c r="E977" s="36"/>
      <c r="F977" s="36"/>
      <c r="G977" s="18"/>
      <c r="H977" s="18"/>
      <c r="I977" s="36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36"/>
      <c r="B978" s="36"/>
      <c r="C978" s="12"/>
      <c r="D978" s="18"/>
      <c r="E978" s="36"/>
      <c r="F978" s="36"/>
      <c r="G978" s="18"/>
      <c r="H978" s="18"/>
      <c r="I978" s="36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36"/>
      <c r="B979" s="36"/>
      <c r="C979" s="12"/>
      <c r="D979" s="18"/>
      <c r="E979" s="36"/>
      <c r="F979" s="36"/>
      <c r="G979" s="18"/>
      <c r="H979" s="18"/>
      <c r="I979" s="36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36"/>
      <c r="B980" s="36"/>
      <c r="C980" s="12"/>
      <c r="D980" s="18"/>
      <c r="E980" s="36"/>
      <c r="F980" s="36"/>
      <c r="G980" s="18"/>
      <c r="H980" s="18"/>
      <c r="I980" s="36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36"/>
      <c r="B981" s="36"/>
      <c r="C981" s="12"/>
      <c r="D981" s="18"/>
      <c r="E981" s="36"/>
      <c r="F981" s="36"/>
      <c r="G981" s="18"/>
      <c r="H981" s="18"/>
      <c r="I981" s="36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36"/>
      <c r="B982" s="36"/>
      <c r="C982" s="12"/>
      <c r="D982" s="18"/>
      <c r="E982" s="36"/>
      <c r="F982" s="36"/>
      <c r="G982" s="18"/>
      <c r="H982" s="18"/>
      <c r="I982" s="36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36"/>
      <c r="B983" s="36"/>
      <c r="C983" s="12"/>
      <c r="D983" s="18"/>
      <c r="E983" s="36"/>
      <c r="F983" s="36"/>
      <c r="G983" s="18"/>
      <c r="H983" s="18"/>
      <c r="I983" s="36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36"/>
      <c r="B984" s="36"/>
      <c r="C984" s="12"/>
      <c r="D984" s="18"/>
      <c r="E984" s="36"/>
      <c r="F984" s="36"/>
      <c r="G984" s="18"/>
      <c r="H984" s="18"/>
      <c r="I984" s="36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36"/>
      <c r="B985" s="36"/>
      <c r="C985" s="12"/>
      <c r="D985" s="18"/>
      <c r="E985" s="36"/>
      <c r="F985" s="36"/>
      <c r="G985" s="18"/>
      <c r="H985" s="18"/>
      <c r="I985" s="36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36"/>
      <c r="B986" s="36"/>
      <c r="C986" s="12"/>
      <c r="D986" s="18"/>
      <c r="E986" s="36"/>
      <c r="F986" s="36"/>
      <c r="G986" s="18"/>
      <c r="H986" s="18"/>
      <c r="I986" s="36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36"/>
      <c r="B987" s="36"/>
      <c r="C987" s="12"/>
      <c r="D987" s="18"/>
      <c r="E987" s="36"/>
      <c r="F987" s="36"/>
      <c r="G987" s="18"/>
      <c r="H987" s="18"/>
      <c r="I987" s="36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36"/>
      <c r="B988" s="36"/>
      <c r="C988" s="12"/>
      <c r="D988" s="18"/>
      <c r="E988" s="36"/>
      <c r="F988" s="36"/>
      <c r="G988" s="18"/>
      <c r="H988" s="18"/>
      <c r="I988" s="36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36"/>
      <c r="B989" s="36"/>
      <c r="C989" s="12"/>
      <c r="D989" s="18"/>
      <c r="E989" s="36"/>
      <c r="F989" s="36"/>
      <c r="G989" s="18"/>
      <c r="H989" s="18"/>
      <c r="I989" s="36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36"/>
      <c r="B990" s="36"/>
      <c r="C990" s="12"/>
      <c r="D990" s="18"/>
      <c r="E990" s="36"/>
      <c r="F990" s="36"/>
      <c r="G990" s="18"/>
      <c r="H990" s="18"/>
      <c r="I990" s="36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36"/>
      <c r="B991" s="36"/>
      <c r="C991" s="12"/>
      <c r="D991" s="18"/>
      <c r="E991" s="36"/>
      <c r="F991" s="36"/>
      <c r="G991" s="18"/>
      <c r="H991" s="18"/>
      <c r="I991" s="36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36"/>
      <c r="B992" s="36"/>
      <c r="C992" s="12"/>
      <c r="D992" s="18"/>
      <c r="E992" s="36"/>
      <c r="F992" s="36"/>
      <c r="G992" s="18"/>
      <c r="H992" s="18"/>
      <c r="I992" s="36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36"/>
      <c r="B993" s="36"/>
      <c r="C993" s="12"/>
      <c r="D993" s="18"/>
      <c r="E993" s="36"/>
      <c r="F993" s="36"/>
      <c r="G993" s="18"/>
      <c r="H993" s="18"/>
      <c r="I993" s="36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36"/>
      <c r="B994" s="36"/>
      <c r="C994" s="12"/>
      <c r="D994" s="18"/>
      <c r="E994" s="36"/>
      <c r="F994" s="36"/>
      <c r="G994" s="18"/>
      <c r="H994" s="18"/>
      <c r="I994" s="36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36"/>
      <c r="B995" s="36"/>
      <c r="C995" s="12"/>
      <c r="D995" s="18"/>
      <c r="E995" s="36"/>
      <c r="F995" s="36"/>
      <c r="G995" s="18"/>
      <c r="H995" s="18"/>
      <c r="I995" s="36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36"/>
      <c r="B996" s="36"/>
      <c r="C996" s="12"/>
      <c r="D996" s="18"/>
      <c r="E996" s="36"/>
      <c r="F996" s="36"/>
      <c r="G996" s="18"/>
      <c r="H996" s="18"/>
      <c r="I996" s="36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36"/>
      <c r="B997" s="36"/>
      <c r="C997" s="12"/>
      <c r="D997" s="18"/>
      <c r="E997" s="36"/>
      <c r="F997" s="36"/>
      <c r="G997" s="18"/>
      <c r="H997" s="18"/>
      <c r="I997" s="36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36"/>
      <c r="B998" s="36"/>
      <c r="C998" s="12"/>
      <c r="D998" s="18"/>
      <c r="E998" s="36"/>
      <c r="F998" s="36"/>
      <c r="G998" s="18"/>
      <c r="H998" s="18"/>
      <c r="I998" s="36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36"/>
      <c r="B999" s="36"/>
      <c r="C999" s="12"/>
      <c r="D999" s="18"/>
      <c r="E999" s="36"/>
      <c r="F999" s="36"/>
      <c r="G999" s="18"/>
      <c r="H999" s="18"/>
      <c r="I999" s="36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36"/>
      <c r="B1000" s="36"/>
      <c r="C1000" s="12"/>
      <c r="D1000" s="18"/>
      <c r="E1000" s="36"/>
      <c r="F1000" s="36"/>
      <c r="G1000" s="18"/>
      <c r="H1000" s="18"/>
      <c r="I1000" s="36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hyperlinks>
    <hyperlink r:id="rId1" location="6185" ref="G3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2.0"/>
    <col customWidth="1" min="6" max="6" width="20.0"/>
    <col customWidth="1" min="7" max="13" width="32.0"/>
    <col customWidth="1" min="14" max="26" width="8.71"/>
  </cols>
  <sheetData>
    <row r="1">
      <c r="A1" s="40" t="s">
        <v>871</v>
      </c>
      <c r="B1" s="40" t="s">
        <v>872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>
      <c r="A2" s="40" t="s">
        <v>873</v>
      </c>
      <c r="B2" s="40" t="s">
        <v>874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>
      <c r="A3" s="40" t="s">
        <v>875</v>
      </c>
      <c r="B3" s="40" t="s">
        <v>876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>
      <c r="A4" s="40" t="s">
        <v>877</v>
      </c>
      <c r="B4" s="40" t="s">
        <v>878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>
      <c r="A5" s="40" t="s">
        <v>879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>
      <c r="A6" s="40" t="s">
        <v>880</v>
      </c>
      <c r="B6" s="40" t="s">
        <v>881</v>
      </c>
      <c r="C6" s="40" t="s">
        <v>871</v>
      </c>
      <c r="D6" s="40" t="s">
        <v>882</v>
      </c>
      <c r="E6" s="40" t="s">
        <v>883</v>
      </c>
      <c r="F6" s="40" t="s">
        <v>616</v>
      </c>
      <c r="G6" s="40" t="s">
        <v>884</v>
      </c>
      <c r="H6" s="40" t="s">
        <v>885</v>
      </c>
      <c r="I6" s="40" t="s">
        <v>886</v>
      </c>
      <c r="J6" s="40" t="s">
        <v>887</v>
      </c>
      <c r="K6" s="40" t="s">
        <v>614</v>
      </c>
      <c r="L6" s="40" t="s">
        <v>888</v>
      </c>
      <c r="M6" s="40" t="s">
        <v>889</v>
      </c>
    </row>
    <row r="7">
      <c r="A7" s="40" t="s">
        <v>890</v>
      </c>
      <c r="B7" s="40" t="s">
        <v>872</v>
      </c>
      <c r="C7" s="40" t="s">
        <v>872</v>
      </c>
      <c r="D7" s="40" t="s">
        <v>879</v>
      </c>
      <c r="E7" s="40" t="s">
        <v>879</v>
      </c>
      <c r="F7" s="40" t="s">
        <v>879</v>
      </c>
      <c r="G7" s="40"/>
      <c r="H7" s="40" t="s">
        <v>891</v>
      </c>
      <c r="I7" s="40"/>
      <c r="J7" s="40"/>
      <c r="K7" s="40">
        <v>1.0</v>
      </c>
      <c r="L7" s="40" t="s">
        <v>892</v>
      </c>
      <c r="M7" s="40"/>
    </row>
    <row r="8">
      <c r="A8" s="40" t="s">
        <v>893</v>
      </c>
      <c r="B8" s="40" t="s">
        <v>894</v>
      </c>
      <c r="C8" s="40" t="s">
        <v>894</v>
      </c>
      <c r="D8" s="40" t="s">
        <v>879</v>
      </c>
      <c r="E8" s="40" t="s">
        <v>879</v>
      </c>
      <c r="F8" s="40" t="s">
        <v>879</v>
      </c>
      <c r="G8" s="40"/>
      <c r="H8" s="40" t="s">
        <v>891</v>
      </c>
      <c r="I8" s="40"/>
      <c r="J8" s="40"/>
      <c r="K8" s="40">
        <v>1.0</v>
      </c>
      <c r="L8" s="40" t="s">
        <v>892</v>
      </c>
      <c r="M8" s="40"/>
    </row>
    <row r="9">
      <c r="A9" s="40" t="s">
        <v>895</v>
      </c>
      <c r="B9" s="40" t="s">
        <v>896</v>
      </c>
      <c r="C9" s="40" t="s">
        <v>896</v>
      </c>
      <c r="D9" s="40" t="s">
        <v>879</v>
      </c>
      <c r="E9" s="40" t="s">
        <v>879</v>
      </c>
      <c r="F9" s="40" t="s">
        <v>879</v>
      </c>
      <c r="G9" s="40"/>
      <c r="H9" s="40" t="s">
        <v>891</v>
      </c>
      <c r="I9" s="40"/>
      <c r="J9" s="40"/>
      <c r="K9" s="40">
        <v>2.0</v>
      </c>
      <c r="L9" s="40" t="s">
        <v>897</v>
      </c>
      <c r="M9" s="40"/>
    </row>
    <row r="10">
      <c r="A10" s="40" t="s">
        <v>898</v>
      </c>
      <c r="B10" s="40" t="s">
        <v>629</v>
      </c>
      <c r="C10" s="40" t="s">
        <v>629</v>
      </c>
      <c r="D10" s="40" t="s">
        <v>879</v>
      </c>
      <c r="E10" s="40" t="s">
        <v>879</v>
      </c>
      <c r="F10" s="40" t="s">
        <v>879</v>
      </c>
      <c r="G10" s="40"/>
      <c r="H10" s="40" t="s">
        <v>891</v>
      </c>
      <c r="I10" s="40"/>
      <c r="J10" s="40"/>
      <c r="K10" s="40">
        <v>2.0</v>
      </c>
      <c r="L10" s="40" t="s">
        <v>897</v>
      </c>
      <c r="M10" s="40"/>
    </row>
    <row r="11">
      <c r="A11" s="40" t="s">
        <v>899</v>
      </c>
      <c r="B11" s="40" t="s">
        <v>633</v>
      </c>
      <c r="C11" s="40" t="s">
        <v>633</v>
      </c>
      <c r="D11" s="40" t="s">
        <v>879</v>
      </c>
      <c r="E11" s="40" t="s">
        <v>879</v>
      </c>
      <c r="F11" s="40" t="s">
        <v>879</v>
      </c>
      <c r="G11" s="40"/>
      <c r="H11" s="40" t="s">
        <v>891</v>
      </c>
      <c r="I11" s="40"/>
      <c r="J11" s="40"/>
      <c r="K11" s="40">
        <v>1.0</v>
      </c>
      <c r="L11" s="40" t="s">
        <v>897</v>
      </c>
      <c r="M11" s="40"/>
    </row>
    <row r="12">
      <c r="A12" s="40" t="s">
        <v>900</v>
      </c>
      <c r="B12" s="40" t="s">
        <v>901</v>
      </c>
      <c r="C12" s="40" t="s">
        <v>901</v>
      </c>
      <c r="D12" s="40" t="s">
        <v>879</v>
      </c>
      <c r="E12" s="40" t="s">
        <v>879</v>
      </c>
      <c r="F12" s="40" t="s">
        <v>879</v>
      </c>
      <c r="G12" s="40"/>
      <c r="H12" s="40" t="s">
        <v>891</v>
      </c>
      <c r="I12" s="40"/>
      <c r="J12" s="40"/>
      <c r="K12" s="40">
        <v>1.0</v>
      </c>
      <c r="L12" s="40" t="s">
        <v>892</v>
      </c>
      <c r="M12" s="40"/>
    </row>
    <row r="13">
      <c r="A13" s="40" t="s">
        <v>902</v>
      </c>
      <c r="B13" s="40" t="s">
        <v>903</v>
      </c>
      <c r="C13" s="40" t="s">
        <v>903</v>
      </c>
      <c r="D13" s="40" t="s">
        <v>879</v>
      </c>
      <c r="E13" s="40" t="s">
        <v>879</v>
      </c>
      <c r="F13" s="40" t="s">
        <v>904</v>
      </c>
      <c r="G13" s="40"/>
      <c r="H13" s="40" t="s">
        <v>891</v>
      </c>
      <c r="I13" s="40"/>
      <c r="J13" s="40"/>
      <c r="K13" s="40">
        <v>16.0</v>
      </c>
      <c r="L13" s="40" t="s">
        <v>897</v>
      </c>
      <c r="M13" s="40"/>
    </row>
    <row r="14">
      <c r="A14" s="40" t="s">
        <v>905</v>
      </c>
      <c r="B14" s="40" t="s">
        <v>906</v>
      </c>
      <c r="C14" s="40" t="s">
        <v>906</v>
      </c>
      <c r="D14" s="40" t="s">
        <v>879</v>
      </c>
      <c r="E14" s="40" t="s">
        <v>879</v>
      </c>
      <c r="F14" s="40" t="s">
        <v>904</v>
      </c>
      <c r="G14" s="40"/>
      <c r="H14" s="40" t="s">
        <v>891</v>
      </c>
      <c r="I14" s="40"/>
      <c r="J14" s="40"/>
      <c r="K14" s="40">
        <v>2.0</v>
      </c>
      <c r="L14" s="40" t="s">
        <v>897</v>
      </c>
      <c r="M14" s="40"/>
    </row>
    <row r="15">
      <c r="A15" s="40" t="s">
        <v>907</v>
      </c>
      <c r="B15" s="40" t="s">
        <v>908</v>
      </c>
      <c r="C15" s="40" t="s">
        <v>908</v>
      </c>
      <c r="D15" s="40" t="s">
        <v>879</v>
      </c>
      <c r="E15" s="40" t="s">
        <v>879</v>
      </c>
      <c r="F15" s="40" t="s">
        <v>879</v>
      </c>
      <c r="G15" s="40"/>
      <c r="H15" s="40" t="s">
        <v>891</v>
      </c>
      <c r="I15" s="40"/>
      <c r="J15" s="40"/>
      <c r="K15" s="40">
        <v>1.0</v>
      </c>
      <c r="L15" s="40" t="s">
        <v>897</v>
      </c>
      <c r="M15" s="40"/>
    </row>
    <row r="16">
      <c r="A16" s="40" t="s">
        <v>909</v>
      </c>
      <c r="B16" s="40" t="s">
        <v>910</v>
      </c>
      <c r="C16" s="40" t="s">
        <v>910</v>
      </c>
      <c r="D16" s="40" t="s">
        <v>879</v>
      </c>
      <c r="E16" s="40" t="s">
        <v>879</v>
      </c>
      <c r="F16" s="40" t="s">
        <v>904</v>
      </c>
      <c r="G16" s="40"/>
      <c r="H16" s="40" t="s">
        <v>891</v>
      </c>
      <c r="I16" s="40"/>
      <c r="J16" s="40"/>
      <c r="K16" s="40">
        <v>1.0</v>
      </c>
      <c r="L16" s="40" t="s">
        <v>897</v>
      </c>
      <c r="M16" s="40"/>
    </row>
    <row r="17">
      <c r="A17" s="40" t="s">
        <v>911</v>
      </c>
      <c r="B17" s="40" t="s">
        <v>912</v>
      </c>
      <c r="C17" s="40" t="s">
        <v>912</v>
      </c>
      <c r="D17" s="40" t="s">
        <v>879</v>
      </c>
      <c r="E17" s="40" t="s">
        <v>879</v>
      </c>
      <c r="F17" s="40" t="s">
        <v>904</v>
      </c>
      <c r="G17" s="40"/>
      <c r="H17" s="40" t="s">
        <v>891</v>
      </c>
      <c r="I17" s="40"/>
      <c r="J17" s="40"/>
      <c r="K17" s="40">
        <v>3.0</v>
      </c>
      <c r="L17" s="40" t="s">
        <v>897</v>
      </c>
      <c r="M17" s="40"/>
    </row>
    <row r="18">
      <c r="A18" s="40" t="s">
        <v>913</v>
      </c>
      <c r="B18" s="40" t="s">
        <v>914</v>
      </c>
      <c r="C18" s="40" t="s">
        <v>914</v>
      </c>
      <c r="D18" s="40" t="s">
        <v>879</v>
      </c>
      <c r="E18" s="40" t="s">
        <v>879</v>
      </c>
      <c r="F18" s="40" t="s">
        <v>879</v>
      </c>
      <c r="G18" s="40"/>
      <c r="H18" s="40" t="s">
        <v>891</v>
      </c>
      <c r="I18" s="40"/>
      <c r="J18" s="40"/>
      <c r="K18" s="40">
        <v>2.0</v>
      </c>
      <c r="L18" s="40" t="s">
        <v>892</v>
      </c>
      <c r="M18" s="40"/>
    </row>
    <row r="19">
      <c r="A19" s="40" t="s">
        <v>915</v>
      </c>
      <c r="B19" s="40" t="s">
        <v>916</v>
      </c>
      <c r="C19" s="40" t="s">
        <v>916</v>
      </c>
      <c r="D19" s="40" t="s">
        <v>879</v>
      </c>
      <c r="E19" s="40" t="s">
        <v>879</v>
      </c>
      <c r="F19" s="40" t="s">
        <v>879</v>
      </c>
      <c r="G19" s="40"/>
      <c r="H19" s="40" t="s">
        <v>891</v>
      </c>
      <c r="I19" s="40"/>
      <c r="J19" s="40"/>
      <c r="K19" s="40">
        <v>1.0</v>
      </c>
      <c r="L19" s="40" t="s">
        <v>897</v>
      </c>
      <c r="M19" s="40"/>
    </row>
    <row r="20">
      <c r="A20" s="40" t="s">
        <v>917</v>
      </c>
      <c r="B20" s="40" t="s">
        <v>918</v>
      </c>
      <c r="C20" s="40" t="s">
        <v>918</v>
      </c>
      <c r="D20" s="40" t="s">
        <v>879</v>
      </c>
      <c r="E20" s="40" t="s">
        <v>879</v>
      </c>
      <c r="F20" s="40" t="s">
        <v>879</v>
      </c>
      <c r="G20" s="40"/>
      <c r="H20" s="40" t="s">
        <v>891</v>
      </c>
      <c r="I20" s="40"/>
      <c r="J20" s="40"/>
      <c r="K20" s="40">
        <v>1.0</v>
      </c>
      <c r="L20" s="40" t="s">
        <v>897</v>
      </c>
      <c r="M20" s="40"/>
    </row>
    <row r="21" ht="15.75" customHeight="1">
      <c r="A21" s="40" t="s">
        <v>919</v>
      </c>
      <c r="B21" s="40" t="s">
        <v>920</v>
      </c>
      <c r="C21" s="40" t="s">
        <v>920</v>
      </c>
      <c r="D21" s="40" t="s">
        <v>879</v>
      </c>
      <c r="E21" s="40" t="s">
        <v>879</v>
      </c>
      <c r="F21" s="40" t="s">
        <v>879</v>
      </c>
      <c r="G21" s="40"/>
      <c r="H21" s="40" t="s">
        <v>891</v>
      </c>
      <c r="I21" s="40"/>
      <c r="J21" s="40"/>
      <c r="K21" s="40">
        <v>1.0</v>
      </c>
      <c r="L21" s="40" t="s">
        <v>897</v>
      </c>
      <c r="M21" s="40"/>
    </row>
    <row r="22" ht="15.75" customHeight="1">
      <c r="A22" s="40" t="s">
        <v>921</v>
      </c>
      <c r="B22" s="40" t="s">
        <v>620</v>
      </c>
      <c r="C22" s="40" t="s">
        <v>620</v>
      </c>
      <c r="D22" s="40" t="s">
        <v>879</v>
      </c>
      <c r="E22" s="40" t="s">
        <v>879</v>
      </c>
      <c r="F22" s="40" t="s">
        <v>879</v>
      </c>
      <c r="G22" s="40"/>
      <c r="H22" s="40" t="s">
        <v>891</v>
      </c>
      <c r="I22" s="40"/>
      <c r="J22" s="40"/>
      <c r="K22" s="40">
        <v>1.0</v>
      </c>
      <c r="L22" s="40" t="s">
        <v>922</v>
      </c>
      <c r="M22" s="40"/>
    </row>
    <row r="23" ht="15.75" customHeight="1">
      <c r="A23" s="40" t="s">
        <v>923</v>
      </c>
      <c r="B23" s="40" t="s">
        <v>631</v>
      </c>
      <c r="C23" s="40" t="s">
        <v>631</v>
      </c>
      <c r="D23" s="40" t="s">
        <v>879</v>
      </c>
      <c r="E23" s="40" t="s">
        <v>879</v>
      </c>
      <c r="F23" s="40" t="s">
        <v>879</v>
      </c>
      <c r="G23" s="40"/>
      <c r="H23" s="40" t="s">
        <v>891</v>
      </c>
      <c r="I23" s="40"/>
      <c r="J23" s="40"/>
      <c r="K23" s="40">
        <v>2.0</v>
      </c>
      <c r="L23" s="40" t="s">
        <v>897</v>
      </c>
      <c r="M23" s="40"/>
    </row>
    <row r="24" ht="15.75" customHeight="1">
      <c r="A24" s="40" t="s">
        <v>924</v>
      </c>
      <c r="B24" s="40" t="s">
        <v>925</v>
      </c>
      <c r="C24" s="40" t="s">
        <v>925</v>
      </c>
      <c r="D24" s="40" t="s">
        <v>879</v>
      </c>
      <c r="E24" s="40" t="s">
        <v>879</v>
      </c>
      <c r="F24" s="40" t="s">
        <v>926</v>
      </c>
      <c r="G24" s="40"/>
      <c r="H24" s="40" t="s">
        <v>891</v>
      </c>
      <c r="I24" s="40"/>
      <c r="J24" s="40"/>
      <c r="K24" s="40">
        <v>2.0</v>
      </c>
      <c r="L24" s="40" t="s">
        <v>892</v>
      </c>
      <c r="M24" s="40"/>
    </row>
    <row r="25" ht="15.75" customHeight="1">
      <c r="A25" s="40" t="s">
        <v>927</v>
      </c>
      <c r="B25" s="40" t="s">
        <v>928</v>
      </c>
      <c r="C25" s="40" t="s">
        <v>928</v>
      </c>
      <c r="D25" s="40" t="s">
        <v>879</v>
      </c>
      <c r="E25" s="40" t="s">
        <v>879</v>
      </c>
      <c r="F25" s="40" t="s">
        <v>929</v>
      </c>
      <c r="G25" s="40"/>
      <c r="H25" s="40" t="s">
        <v>891</v>
      </c>
      <c r="I25" s="40"/>
      <c r="J25" s="40"/>
      <c r="K25" s="40">
        <v>1.0</v>
      </c>
      <c r="L25" s="40" t="s">
        <v>897</v>
      </c>
      <c r="M25" s="40"/>
    </row>
    <row r="26" ht="15.75" customHeight="1">
      <c r="A26" s="40" t="s">
        <v>930</v>
      </c>
      <c r="B26" s="40" t="s">
        <v>931</v>
      </c>
      <c r="C26" s="40" t="s">
        <v>931</v>
      </c>
      <c r="D26" s="40" t="s">
        <v>879</v>
      </c>
      <c r="E26" s="40" t="s">
        <v>879</v>
      </c>
      <c r="F26" s="40" t="s">
        <v>932</v>
      </c>
      <c r="G26" s="40"/>
      <c r="H26" s="40" t="s">
        <v>891</v>
      </c>
      <c r="I26" s="40"/>
      <c r="J26" s="40"/>
      <c r="K26" s="40">
        <v>1.0</v>
      </c>
      <c r="L26" s="40" t="s">
        <v>897</v>
      </c>
      <c r="M26" s="40"/>
    </row>
    <row r="27" ht="15.75" customHeight="1">
      <c r="A27" s="40" t="s">
        <v>933</v>
      </c>
      <c r="B27" s="40" t="s">
        <v>934</v>
      </c>
      <c r="C27" s="40" t="s">
        <v>934</v>
      </c>
      <c r="D27" s="40" t="s">
        <v>879</v>
      </c>
      <c r="E27" s="40" t="s">
        <v>879</v>
      </c>
      <c r="F27" s="40" t="s">
        <v>935</v>
      </c>
      <c r="G27" s="40"/>
      <c r="H27" s="40" t="s">
        <v>891</v>
      </c>
      <c r="I27" s="40"/>
      <c r="J27" s="40"/>
      <c r="K27" s="40">
        <v>1.0</v>
      </c>
      <c r="L27" s="40" t="s">
        <v>897</v>
      </c>
      <c r="M27" s="40"/>
    </row>
    <row r="28" ht="15.75" customHeight="1">
      <c r="A28" s="40" t="s">
        <v>936</v>
      </c>
      <c r="B28" s="40" t="s">
        <v>937</v>
      </c>
      <c r="C28" s="40" t="s">
        <v>937</v>
      </c>
      <c r="D28" s="40" t="s">
        <v>879</v>
      </c>
      <c r="E28" s="40" t="s">
        <v>879</v>
      </c>
      <c r="F28" s="40" t="s">
        <v>938</v>
      </c>
      <c r="G28" s="40"/>
      <c r="H28" s="40" t="s">
        <v>891</v>
      </c>
      <c r="I28" s="40"/>
      <c r="J28" s="40"/>
      <c r="K28" s="40">
        <v>1.0</v>
      </c>
      <c r="L28" s="40" t="s">
        <v>897</v>
      </c>
      <c r="M28" s="40"/>
    </row>
    <row r="29" ht="15.75" customHeight="1">
      <c r="A29" s="40" t="s">
        <v>939</v>
      </c>
      <c r="B29" s="40" t="s">
        <v>940</v>
      </c>
      <c r="C29" s="40" t="s">
        <v>940</v>
      </c>
      <c r="D29" s="40" t="s">
        <v>879</v>
      </c>
      <c r="E29" s="40" t="s">
        <v>879</v>
      </c>
      <c r="F29" s="40" t="s">
        <v>941</v>
      </c>
      <c r="G29" s="40"/>
      <c r="H29" s="40" t="s">
        <v>891</v>
      </c>
      <c r="I29" s="40"/>
      <c r="J29" s="40"/>
      <c r="K29" s="40">
        <v>2.0</v>
      </c>
      <c r="L29" s="40" t="s">
        <v>897</v>
      </c>
      <c r="M29" s="40"/>
    </row>
    <row r="30" ht="15.75" customHeight="1">
      <c r="A30" s="40" t="s">
        <v>942</v>
      </c>
      <c r="B30" s="40" t="s">
        <v>943</v>
      </c>
      <c r="C30" s="40" t="s">
        <v>943</v>
      </c>
      <c r="D30" s="40" t="s">
        <v>879</v>
      </c>
      <c r="E30" s="40" t="s">
        <v>879</v>
      </c>
      <c r="F30" s="40" t="s">
        <v>944</v>
      </c>
      <c r="G30" s="40"/>
      <c r="H30" s="40" t="s">
        <v>891</v>
      </c>
      <c r="I30" s="40"/>
      <c r="J30" s="40"/>
      <c r="K30" s="40">
        <v>1.0</v>
      </c>
      <c r="L30" s="40" t="s">
        <v>897</v>
      </c>
      <c r="M30" s="40"/>
    </row>
    <row r="31" ht="15.75" customHeight="1">
      <c r="A31" s="40" t="s">
        <v>945</v>
      </c>
      <c r="B31" s="40" t="s">
        <v>946</v>
      </c>
      <c r="C31" s="40" t="s">
        <v>946</v>
      </c>
      <c r="D31" s="40" t="s">
        <v>879</v>
      </c>
      <c r="E31" s="40" t="s">
        <v>879</v>
      </c>
      <c r="F31" s="40" t="s">
        <v>879</v>
      </c>
      <c r="G31" s="40"/>
      <c r="H31" s="40" t="s">
        <v>891</v>
      </c>
      <c r="I31" s="40"/>
      <c r="J31" s="40"/>
      <c r="K31" s="40">
        <v>1.0</v>
      </c>
      <c r="L31" s="40" t="s">
        <v>892</v>
      </c>
      <c r="M31" s="40"/>
    </row>
    <row r="32" ht="15.75" customHeight="1">
      <c r="A32" s="40" t="s">
        <v>947</v>
      </c>
      <c r="B32" s="40" t="s">
        <v>948</v>
      </c>
      <c r="C32" s="40" t="s">
        <v>948</v>
      </c>
      <c r="D32" s="40" t="s">
        <v>879</v>
      </c>
      <c r="E32" s="40" t="s">
        <v>879</v>
      </c>
      <c r="F32" s="40" t="s">
        <v>879</v>
      </c>
      <c r="G32" s="40"/>
      <c r="H32" s="40" t="s">
        <v>891</v>
      </c>
      <c r="I32" s="40"/>
      <c r="J32" s="40"/>
      <c r="K32" s="40">
        <v>1.0</v>
      </c>
      <c r="L32" s="40" t="s">
        <v>897</v>
      </c>
      <c r="M32" s="40"/>
    </row>
    <row r="33" ht="15.75" customHeight="1">
      <c r="A33" s="40" t="s">
        <v>949</v>
      </c>
      <c r="B33" s="40" t="s">
        <v>950</v>
      </c>
      <c r="C33" s="40" t="s">
        <v>950</v>
      </c>
      <c r="D33" s="40" t="s">
        <v>879</v>
      </c>
      <c r="E33" s="40" t="s">
        <v>879</v>
      </c>
      <c r="F33" s="40" t="s">
        <v>879</v>
      </c>
      <c r="G33" s="40"/>
      <c r="H33" s="40" t="s">
        <v>891</v>
      </c>
      <c r="I33" s="40"/>
      <c r="J33" s="40"/>
      <c r="K33" s="40">
        <v>1.0</v>
      </c>
      <c r="L33" s="40" t="s">
        <v>897</v>
      </c>
      <c r="M33" s="40"/>
    </row>
    <row r="34" ht="15.75" customHeight="1">
      <c r="A34" s="40" t="s">
        <v>951</v>
      </c>
      <c r="B34" s="40" t="s">
        <v>952</v>
      </c>
      <c r="C34" s="40" t="s">
        <v>952</v>
      </c>
      <c r="D34" s="40" t="s">
        <v>879</v>
      </c>
      <c r="E34" s="40" t="s">
        <v>879</v>
      </c>
      <c r="F34" s="40" t="s">
        <v>879</v>
      </c>
      <c r="G34" s="40"/>
      <c r="H34" s="40" t="s">
        <v>891</v>
      </c>
      <c r="I34" s="40"/>
      <c r="J34" s="40"/>
      <c r="K34" s="40">
        <v>1.0</v>
      </c>
      <c r="L34" s="40" t="s">
        <v>892</v>
      </c>
      <c r="M34" s="40"/>
    </row>
    <row r="35" ht="15.75" customHeight="1">
      <c r="A35" s="40" t="s">
        <v>953</v>
      </c>
      <c r="B35" s="40" t="s">
        <v>954</v>
      </c>
      <c r="C35" s="40" t="s">
        <v>954</v>
      </c>
      <c r="D35" s="40" t="s">
        <v>879</v>
      </c>
      <c r="E35" s="40" t="s">
        <v>879</v>
      </c>
      <c r="F35" s="40" t="s">
        <v>879</v>
      </c>
      <c r="G35" s="40"/>
      <c r="H35" s="40" t="s">
        <v>891</v>
      </c>
      <c r="I35" s="40"/>
      <c r="J35" s="40"/>
      <c r="K35" s="40">
        <v>1.0</v>
      </c>
      <c r="L35" s="40" t="s">
        <v>897</v>
      </c>
      <c r="M35" s="40"/>
    </row>
    <row r="36" ht="15.75" customHeight="1">
      <c r="A36" s="40" t="s">
        <v>955</v>
      </c>
      <c r="B36" s="40" t="s">
        <v>956</v>
      </c>
      <c r="C36" s="40" t="s">
        <v>956</v>
      </c>
      <c r="D36" s="40" t="s">
        <v>879</v>
      </c>
      <c r="E36" s="40" t="s">
        <v>879</v>
      </c>
      <c r="F36" s="40" t="s">
        <v>879</v>
      </c>
      <c r="G36" s="40"/>
      <c r="H36" s="40" t="s">
        <v>891</v>
      </c>
      <c r="I36" s="40"/>
      <c r="J36" s="40"/>
      <c r="K36" s="40">
        <v>1.0</v>
      </c>
      <c r="L36" s="40" t="s">
        <v>897</v>
      </c>
      <c r="M36" s="40"/>
    </row>
    <row r="37" ht="15.75" customHeight="1">
      <c r="A37" s="40" t="s">
        <v>957</v>
      </c>
      <c r="B37" s="40" t="s">
        <v>958</v>
      </c>
      <c r="C37" s="40" t="s">
        <v>959</v>
      </c>
      <c r="D37" s="40" t="s">
        <v>879</v>
      </c>
      <c r="E37" s="40" t="s">
        <v>879</v>
      </c>
      <c r="F37" s="40" t="s">
        <v>960</v>
      </c>
      <c r="G37" s="40"/>
      <c r="H37" s="40" t="s">
        <v>891</v>
      </c>
      <c r="I37" s="40"/>
      <c r="J37" s="40"/>
      <c r="K37" s="40">
        <v>2.0</v>
      </c>
      <c r="L37" s="40" t="s">
        <v>961</v>
      </c>
      <c r="M37" s="40"/>
    </row>
    <row r="38" ht="15.75" customHeight="1">
      <c r="A38" s="40" t="s">
        <v>962</v>
      </c>
      <c r="B38" s="40" t="s">
        <v>963</v>
      </c>
      <c r="C38" s="40" t="s">
        <v>963</v>
      </c>
      <c r="D38" s="40" t="s">
        <v>879</v>
      </c>
      <c r="E38" s="40" t="s">
        <v>879</v>
      </c>
      <c r="F38" s="40" t="s">
        <v>879</v>
      </c>
      <c r="G38" s="40"/>
      <c r="H38" s="40" t="s">
        <v>891</v>
      </c>
      <c r="I38" s="40"/>
      <c r="J38" s="40"/>
      <c r="K38" s="40">
        <v>1.0</v>
      </c>
      <c r="L38" s="40" t="s">
        <v>897</v>
      </c>
      <c r="M38" s="40"/>
    </row>
    <row r="39" ht="15.75" customHeight="1">
      <c r="A39" s="40" t="s">
        <v>964</v>
      </c>
      <c r="B39" s="40" t="s">
        <v>965</v>
      </c>
      <c r="C39" s="40" t="s">
        <v>965</v>
      </c>
      <c r="D39" s="40" t="s">
        <v>879</v>
      </c>
      <c r="E39" s="40" t="s">
        <v>879</v>
      </c>
      <c r="F39" s="40" t="s">
        <v>879</v>
      </c>
      <c r="G39" s="40"/>
      <c r="H39" s="40" t="s">
        <v>891</v>
      </c>
      <c r="I39" s="40"/>
      <c r="J39" s="40"/>
      <c r="K39" s="40">
        <v>1.0</v>
      </c>
      <c r="L39" s="40" t="s">
        <v>892</v>
      </c>
      <c r="M39" s="40"/>
    </row>
    <row r="40" ht="15.75" customHeight="1">
      <c r="A40" s="40" t="s">
        <v>966</v>
      </c>
      <c r="B40" s="40" t="s">
        <v>967</v>
      </c>
      <c r="C40" s="40" t="s">
        <v>967</v>
      </c>
      <c r="D40" s="40" t="s">
        <v>879</v>
      </c>
      <c r="E40" s="40" t="s">
        <v>879</v>
      </c>
      <c r="F40" s="40" t="s">
        <v>904</v>
      </c>
      <c r="G40" s="40"/>
      <c r="H40" s="40" t="s">
        <v>891</v>
      </c>
      <c r="I40" s="40"/>
      <c r="J40" s="40"/>
      <c r="K40" s="40">
        <v>3.0</v>
      </c>
      <c r="L40" s="40" t="s">
        <v>968</v>
      </c>
      <c r="M40" s="40"/>
    </row>
    <row r="41" ht="15.75" customHeight="1">
      <c r="A41" s="40" t="s">
        <v>969</v>
      </c>
      <c r="B41" s="40" t="s">
        <v>970</v>
      </c>
      <c r="C41" s="40" t="s">
        <v>970</v>
      </c>
      <c r="D41" s="40" t="s">
        <v>879</v>
      </c>
      <c r="E41" s="40" t="s">
        <v>879</v>
      </c>
      <c r="F41" s="40" t="s">
        <v>904</v>
      </c>
      <c r="G41" s="40"/>
      <c r="H41" s="40" t="s">
        <v>891</v>
      </c>
      <c r="I41" s="40"/>
      <c r="J41" s="40"/>
      <c r="K41" s="40">
        <v>2.0</v>
      </c>
      <c r="L41" s="40" t="s">
        <v>897</v>
      </c>
      <c r="M41" s="40"/>
    </row>
    <row r="42" ht="15.75" customHeight="1">
      <c r="A42" s="40" t="s">
        <v>971</v>
      </c>
      <c r="B42" s="40" t="s">
        <v>972</v>
      </c>
      <c r="C42" s="40" t="s">
        <v>972</v>
      </c>
      <c r="D42" s="40" t="s">
        <v>879</v>
      </c>
      <c r="E42" s="40" t="s">
        <v>879</v>
      </c>
      <c r="F42" s="40" t="s">
        <v>904</v>
      </c>
      <c r="G42" s="40"/>
      <c r="H42" s="40" t="s">
        <v>891</v>
      </c>
      <c r="I42" s="40"/>
      <c r="J42" s="40"/>
      <c r="K42" s="40">
        <v>2.0</v>
      </c>
      <c r="L42" s="40" t="s">
        <v>897</v>
      </c>
      <c r="M42" s="40"/>
    </row>
    <row r="43" ht="15.75" customHeight="1">
      <c r="A43" s="40" t="s">
        <v>973</v>
      </c>
      <c r="B43" s="40" t="s">
        <v>974</v>
      </c>
      <c r="C43" s="40" t="s">
        <v>974</v>
      </c>
      <c r="D43" s="40" t="s">
        <v>879</v>
      </c>
      <c r="E43" s="40" t="s">
        <v>879</v>
      </c>
      <c r="F43" s="40" t="s">
        <v>879</v>
      </c>
      <c r="G43" s="40"/>
      <c r="H43" s="40" t="s">
        <v>891</v>
      </c>
      <c r="I43" s="40"/>
      <c r="J43" s="40"/>
      <c r="K43" s="40">
        <v>2.0</v>
      </c>
      <c r="L43" s="40" t="s">
        <v>897</v>
      </c>
      <c r="M43" s="40"/>
    </row>
    <row r="44" ht="15.75" customHeight="1">
      <c r="A44" s="40" t="s">
        <v>975</v>
      </c>
      <c r="B44" s="40" t="s">
        <v>976</v>
      </c>
      <c r="C44" s="40" t="s">
        <v>976</v>
      </c>
      <c r="D44" s="40" t="s">
        <v>879</v>
      </c>
      <c r="E44" s="40" t="s">
        <v>879</v>
      </c>
      <c r="F44" s="40" t="s">
        <v>879</v>
      </c>
      <c r="G44" s="40"/>
      <c r="H44" s="40" t="s">
        <v>891</v>
      </c>
      <c r="I44" s="40"/>
      <c r="J44" s="40"/>
      <c r="K44" s="40">
        <v>1.0</v>
      </c>
      <c r="L44" s="40" t="s">
        <v>897</v>
      </c>
      <c r="M44" s="40"/>
    </row>
    <row r="45" ht="15.75" customHeight="1">
      <c r="A45" s="40" t="s">
        <v>977</v>
      </c>
      <c r="B45" s="40" t="s">
        <v>978</v>
      </c>
      <c r="C45" s="40" t="s">
        <v>978</v>
      </c>
      <c r="D45" s="40" t="s">
        <v>879</v>
      </c>
      <c r="E45" s="40" t="s">
        <v>879</v>
      </c>
      <c r="F45" s="40" t="s">
        <v>904</v>
      </c>
      <c r="G45" s="40"/>
      <c r="H45" s="40" t="s">
        <v>891</v>
      </c>
      <c r="I45" s="40"/>
      <c r="J45" s="40"/>
      <c r="K45" s="40">
        <v>6.0</v>
      </c>
      <c r="L45" s="40" t="s">
        <v>897</v>
      </c>
      <c r="M45" s="40"/>
    </row>
    <row r="46" ht="15.75" customHeight="1">
      <c r="A46" s="40" t="s">
        <v>979</v>
      </c>
      <c r="B46" s="40" t="s">
        <v>980</v>
      </c>
      <c r="C46" s="40" t="s">
        <v>980</v>
      </c>
      <c r="D46" s="40" t="s">
        <v>879</v>
      </c>
      <c r="E46" s="40" t="s">
        <v>879</v>
      </c>
      <c r="F46" s="40" t="s">
        <v>904</v>
      </c>
      <c r="G46" s="40"/>
      <c r="H46" s="40" t="s">
        <v>891</v>
      </c>
      <c r="I46" s="40"/>
      <c r="J46" s="40"/>
      <c r="K46" s="40">
        <v>2.0</v>
      </c>
      <c r="L46" s="40" t="s">
        <v>968</v>
      </c>
      <c r="M46" s="40"/>
    </row>
    <row r="47" ht="15.75" customHeight="1">
      <c r="A47" s="40" t="s">
        <v>981</v>
      </c>
      <c r="B47" s="40" t="s">
        <v>982</v>
      </c>
      <c r="C47" s="40" t="s">
        <v>982</v>
      </c>
      <c r="D47" s="40" t="s">
        <v>879</v>
      </c>
      <c r="E47" s="40" t="s">
        <v>879</v>
      </c>
      <c r="F47" s="40" t="s">
        <v>904</v>
      </c>
      <c r="G47" s="40"/>
      <c r="H47" s="40" t="s">
        <v>891</v>
      </c>
      <c r="I47" s="40"/>
      <c r="J47" s="40"/>
      <c r="K47" s="40">
        <v>1.0</v>
      </c>
      <c r="L47" s="40" t="s">
        <v>983</v>
      </c>
      <c r="M47" s="40"/>
    </row>
    <row r="48" ht="15.75" customHeight="1">
      <c r="A48" s="40" t="s">
        <v>984</v>
      </c>
      <c r="B48" s="40" t="s">
        <v>985</v>
      </c>
      <c r="C48" s="40" t="s">
        <v>985</v>
      </c>
      <c r="D48" s="40" t="s">
        <v>879</v>
      </c>
      <c r="E48" s="40" t="s">
        <v>879</v>
      </c>
      <c r="F48" s="40" t="s">
        <v>904</v>
      </c>
      <c r="G48" s="40"/>
      <c r="H48" s="40" t="s">
        <v>891</v>
      </c>
      <c r="I48" s="40"/>
      <c r="J48" s="40"/>
      <c r="K48" s="40">
        <v>1.0</v>
      </c>
      <c r="L48" s="40" t="s">
        <v>968</v>
      </c>
      <c r="M48" s="40"/>
    </row>
    <row r="49" ht="15.75" customHeight="1">
      <c r="A49" s="40" t="s">
        <v>986</v>
      </c>
      <c r="B49" s="40" t="s">
        <v>987</v>
      </c>
      <c r="C49" s="40" t="s">
        <v>987</v>
      </c>
      <c r="D49" s="40" t="s">
        <v>879</v>
      </c>
      <c r="E49" s="40" t="s">
        <v>879</v>
      </c>
      <c r="F49" s="40" t="s">
        <v>904</v>
      </c>
      <c r="G49" s="40"/>
      <c r="H49" s="40" t="s">
        <v>891</v>
      </c>
      <c r="I49" s="40"/>
      <c r="J49" s="40"/>
      <c r="K49" s="40">
        <v>2.0</v>
      </c>
      <c r="L49" s="40" t="s">
        <v>897</v>
      </c>
      <c r="M49" s="40"/>
    </row>
    <row r="50" ht="15.75" customHeight="1">
      <c r="A50" s="40" t="s">
        <v>988</v>
      </c>
      <c r="B50" s="40" t="s">
        <v>989</v>
      </c>
      <c r="C50" s="40" t="s">
        <v>989</v>
      </c>
      <c r="D50" s="40" t="s">
        <v>879</v>
      </c>
      <c r="E50" s="40" t="s">
        <v>879</v>
      </c>
      <c r="F50" s="40" t="s">
        <v>879</v>
      </c>
      <c r="G50" s="40"/>
      <c r="H50" s="40" t="s">
        <v>891</v>
      </c>
      <c r="I50" s="40"/>
      <c r="J50" s="40"/>
      <c r="K50" s="40">
        <v>2.0</v>
      </c>
      <c r="L50" s="40" t="s">
        <v>897</v>
      </c>
      <c r="M50" s="40"/>
    </row>
    <row r="51" ht="15.75" customHeight="1">
      <c r="A51" s="40" t="s">
        <v>990</v>
      </c>
      <c r="B51" s="40" t="s">
        <v>991</v>
      </c>
      <c r="C51" s="40" t="s">
        <v>991</v>
      </c>
      <c r="D51" s="40" t="s">
        <v>879</v>
      </c>
      <c r="E51" s="40" t="s">
        <v>879</v>
      </c>
      <c r="F51" s="40" t="s">
        <v>904</v>
      </c>
      <c r="G51" s="40"/>
      <c r="H51" s="40" t="s">
        <v>891</v>
      </c>
      <c r="I51" s="40"/>
      <c r="J51" s="40"/>
      <c r="K51" s="40">
        <v>1.0</v>
      </c>
      <c r="L51" s="40" t="s">
        <v>968</v>
      </c>
      <c r="M51" s="40"/>
    </row>
    <row r="52" ht="15.75" customHeight="1">
      <c r="A52" s="40" t="s">
        <v>992</v>
      </c>
      <c r="B52" s="40" t="s">
        <v>993</v>
      </c>
      <c r="C52" s="40" t="s">
        <v>993</v>
      </c>
      <c r="D52" s="40" t="s">
        <v>879</v>
      </c>
      <c r="E52" s="40" t="s">
        <v>879</v>
      </c>
      <c r="F52" s="40" t="s">
        <v>904</v>
      </c>
      <c r="G52" s="40"/>
      <c r="H52" s="40" t="s">
        <v>891</v>
      </c>
      <c r="I52" s="40"/>
      <c r="J52" s="40"/>
      <c r="K52" s="40">
        <v>1.0</v>
      </c>
      <c r="L52" s="40" t="s">
        <v>897</v>
      </c>
      <c r="M52" s="40"/>
    </row>
    <row r="53" ht="15.75" customHeight="1">
      <c r="A53" s="40" t="s">
        <v>994</v>
      </c>
      <c r="B53" s="40" t="s">
        <v>995</v>
      </c>
      <c r="C53" s="40" t="s">
        <v>995</v>
      </c>
      <c r="D53" s="40" t="s">
        <v>879</v>
      </c>
      <c r="E53" s="40" t="s">
        <v>879</v>
      </c>
      <c r="F53" s="40" t="s">
        <v>904</v>
      </c>
      <c r="G53" s="40"/>
      <c r="H53" s="40" t="s">
        <v>891</v>
      </c>
      <c r="I53" s="40"/>
      <c r="J53" s="40"/>
      <c r="K53" s="40">
        <v>1.0</v>
      </c>
      <c r="L53" s="40" t="s">
        <v>968</v>
      </c>
      <c r="M53" s="40"/>
    </row>
    <row r="54" ht="15.75" customHeight="1">
      <c r="A54" s="40" t="s">
        <v>996</v>
      </c>
      <c r="B54" s="40" t="s">
        <v>997</v>
      </c>
      <c r="C54" s="40" t="s">
        <v>997</v>
      </c>
      <c r="D54" s="40" t="s">
        <v>879</v>
      </c>
      <c r="E54" s="40" t="s">
        <v>879</v>
      </c>
      <c r="F54" s="40" t="s">
        <v>904</v>
      </c>
      <c r="G54" s="40"/>
      <c r="H54" s="40" t="s">
        <v>891</v>
      </c>
      <c r="I54" s="40"/>
      <c r="J54" s="40"/>
      <c r="K54" s="40">
        <v>2.0</v>
      </c>
      <c r="L54" s="40" t="s">
        <v>968</v>
      </c>
      <c r="M54" s="40"/>
    </row>
    <row r="55" ht="15.75" customHeight="1">
      <c r="A55" s="40" t="s">
        <v>998</v>
      </c>
      <c r="B55" s="40" t="s">
        <v>999</v>
      </c>
      <c r="C55" s="40" t="s">
        <v>999</v>
      </c>
      <c r="D55" s="40" t="s">
        <v>879</v>
      </c>
      <c r="E55" s="40" t="s">
        <v>879</v>
      </c>
      <c r="F55" s="40" t="s">
        <v>879</v>
      </c>
      <c r="G55" s="40"/>
      <c r="H55" s="40" t="s">
        <v>891</v>
      </c>
      <c r="I55" s="40"/>
      <c r="J55" s="40"/>
      <c r="K55" s="40">
        <v>1.0</v>
      </c>
      <c r="L55" s="40" t="s">
        <v>897</v>
      </c>
      <c r="M55" s="40"/>
    </row>
    <row r="56" ht="15.75" customHeight="1">
      <c r="A56" s="40" t="s">
        <v>1000</v>
      </c>
      <c r="B56" s="40" t="s">
        <v>1001</v>
      </c>
      <c r="C56" s="40" t="s">
        <v>1001</v>
      </c>
      <c r="D56" s="40" t="s">
        <v>879</v>
      </c>
      <c r="E56" s="40" t="s">
        <v>879</v>
      </c>
      <c r="F56" s="40" t="s">
        <v>879</v>
      </c>
      <c r="G56" s="40"/>
      <c r="H56" s="40" t="s">
        <v>891</v>
      </c>
      <c r="I56" s="40"/>
      <c r="J56" s="40"/>
      <c r="K56" s="40">
        <v>1.0</v>
      </c>
      <c r="L56" s="40" t="s">
        <v>897</v>
      </c>
      <c r="M56" s="40"/>
    </row>
    <row r="57" ht="15.75" customHeight="1">
      <c r="A57" s="40" t="s">
        <v>1002</v>
      </c>
      <c r="B57" s="40" t="s">
        <v>1003</v>
      </c>
      <c r="C57" s="40" t="s">
        <v>1003</v>
      </c>
      <c r="D57" s="40" t="s">
        <v>879</v>
      </c>
      <c r="E57" s="40" t="s">
        <v>879</v>
      </c>
      <c r="F57" s="40" t="s">
        <v>904</v>
      </c>
      <c r="G57" s="40"/>
      <c r="H57" s="40" t="s">
        <v>891</v>
      </c>
      <c r="I57" s="40"/>
      <c r="J57" s="40"/>
      <c r="K57" s="40">
        <v>1.0</v>
      </c>
      <c r="L57" s="40" t="s">
        <v>897</v>
      </c>
      <c r="M57" s="40"/>
    </row>
    <row r="58" ht="15.75" customHeight="1">
      <c r="A58" s="40" t="s">
        <v>1004</v>
      </c>
      <c r="B58" s="40" t="s">
        <v>1005</v>
      </c>
      <c r="C58" s="40" t="s">
        <v>1005</v>
      </c>
      <c r="D58" s="40" t="s">
        <v>879</v>
      </c>
      <c r="E58" s="40" t="s">
        <v>879</v>
      </c>
      <c r="F58" s="40" t="s">
        <v>904</v>
      </c>
      <c r="G58" s="40"/>
      <c r="H58" s="40" t="s">
        <v>891</v>
      </c>
      <c r="I58" s="40"/>
      <c r="J58" s="40"/>
      <c r="K58" s="40">
        <v>1.0</v>
      </c>
      <c r="L58" s="40" t="s">
        <v>968</v>
      </c>
      <c r="M58" s="40"/>
    </row>
    <row r="59" ht="15.75" customHeight="1">
      <c r="A59" s="40" t="s">
        <v>1006</v>
      </c>
      <c r="B59" s="40" t="s">
        <v>1007</v>
      </c>
      <c r="C59" s="40" t="s">
        <v>1007</v>
      </c>
      <c r="D59" s="40" t="s">
        <v>879</v>
      </c>
      <c r="E59" s="40" t="s">
        <v>879</v>
      </c>
      <c r="F59" s="40" t="s">
        <v>904</v>
      </c>
      <c r="G59" s="40"/>
      <c r="H59" s="40" t="s">
        <v>891</v>
      </c>
      <c r="I59" s="40"/>
      <c r="J59" s="40"/>
      <c r="K59" s="40">
        <v>1.0</v>
      </c>
      <c r="L59" s="40" t="s">
        <v>897</v>
      </c>
      <c r="M59" s="40"/>
    </row>
    <row r="60" ht="15.75" customHeight="1">
      <c r="A60" s="40" t="s">
        <v>1008</v>
      </c>
      <c r="B60" s="40" t="s">
        <v>1009</v>
      </c>
      <c r="C60" s="40" t="s">
        <v>1009</v>
      </c>
      <c r="D60" s="40" t="s">
        <v>879</v>
      </c>
      <c r="E60" s="40" t="s">
        <v>879</v>
      </c>
      <c r="F60" s="40" t="s">
        <v>879</v>
      </c>
      <c r="G60" s="40"/>
      <c r="H60" s="40" t="s">
        <v>891</v>
      </c>
      <c r="I60" s="40"/>
      <c r="J60" s="40"/>
      <c r="K60" s="40">
        <v>1.0</v>
      </c>
      <c r="L60" s="40" t="s">
        <v>897</v>
      </c>
      <c r="M60" s="40"/>
    </row>
    <row r="61" ht="15.75" customHeight="1">
      <c r="A61" s="40" t="s">
        <v>1010</v>
      </c>
      <c r="B61" s="40" t="s">
        <v>1011</v>
      </c>
      <c r="C61" s="40" t="s">
        <v>1011</v>
      </c>
      <c r="D61" s="40" t="s">
        <v>879</v>
      </c>
      <c r="E61" s="40" t="s">
        <v>879</v>
      </c>
      <c r="F61" s="40" t="s">
        <v>879</v>
      </c>
      <c r="G61" s="40"/>
      <c r="H61" s="40" t="s">
        <v>891</v>
      </c>
      <c r="I61" s="40"/>
      <c r="J61" s="40"/>
      <c r="K61" s="40">
        <v>1.0</v>
      </c>
      <c r="L61" s="40" t="s">
        <v>892</v>
      </c>
      <c r="M61" s="40"/>
    </row>
    <row r="62" ht="15.75" customHeight="1">
      <c r="A62" s="40" t="s">
        <v>1012</v>
      </c>
      <c r="B62" s="40" t="s">
        <v>1013</v>
      </c>
      <c r="C62" s="40" t="s">
        <v>1013</v>
      </c>
      <c r="D62" s="40" t="s">
        <v>879</v>
      </c>
      <c r="E62" s="40" t="s">
        <v>879</v>
      </c>
      <c r="F62" s="40" t="s">
        <v>879</v>
      </c>
      <c r="G62" s="40"/>
      <c r="H62" s="40" t="s">
        <v>891</v>
      </c>
      <c r="I62" s="40"/>
      <c r="J62" s="40"/>
      <c r="K62" s="40">
        <v>1.0</v>
      </c>
      <c r="L62" s="40" t="s">
        <v>897</v>
      </c>
      <c r="M62" s="40"/>
    </row>
    <row r="63" ht="15.75" customHeight="1">
      <c r="A63" s="40" t="s">
        <v>1014</v>
      </c>
      <c r="B63" s="40" t="s">
        <v>1015</v>
      </c>
      <c r="C63" s="40" t="s">
        <v>1015</v>
      </c>
      <c r="D63" s="40" t="s">
        <v>879</v>
      </c>
      <c r="E63" s="40" t="s">
        <v>879</v>
      </c>
      <c r="F63" s="40" t="s">
        <v>879</v>
      </c>
      <c r="G63" s="40"/>
      <c r="H63" s="40" t="s">
        <v>891</v>
      </c>
      <c r="I63" s="40"/>
      <c r="J63" s="40"/>
      <c r="K63" s="40">
        <v>1.0</v>
      </c>
      <c r="L63" s="40" t="s">
        <v>897</v>
      </c>
      <c r="M63" s="40"/>
    </row>
    <row r="64" ht="15.75" customHeight="1">
      <c r="A64" s="40" t="s">
        <v>1016</v>
      </c>
      <c r="B64" s="40" t="s">
        <v>958</v>
      </c>
      <c r="C64" s="40" t="s">
        <v>1017</v>
      </c>
      <c r="D64" s="40" t="s">
        <v>879</v>
      </c>
      <c r="E64" s="40" t="s">
        <v>879</v>
      </c>
      <c r="F64" s="40" t="s">
        <v>960</v>
      </c>
      <c r="G64" s="40"/>
      <c r="H64" s="40" t="s">
        <v>891</v>
      </c>
      <c r="I64" s="40"/>
      <c r="J64" s="40"/>
      <c r="K64" s="40">
        <v>2.0</v>
      </c>
      <c r="L64" s="40" t="s">
        <v>961</v>
      </c>
      <c r="M64" s="40"/>
    </row>
    <row r="65" ht="15.75" customHeight="1">
      <c r="A65" s="40" t="s">
        <v>1018</v>
      </c>
      <c r="B65" s="40" t="s">
        <v>1019</v>
      </c>
      <c r="C65" s="40" t="s">
        <v>1019</v>
      </c>
      <c r="D65" s="40" t="s">
        <v>879</v>
      </c>
      <c r="E65" s="40" t="s">
        <v>879</v>
      </c>
      <c r="F65" s="40" t="s">
        <v>879</v>
      </c>
      <c r="G65" s="40"/>
      <c r="H65" s="40" t="s">
        <v>891</v>
      </c>
      <c r="I65" s="40"/>
      <c r="J65" s="40"/>
      <c r="K65" s="40">
        <v>1.0</v>
      </c>
      <c r="L65" s="40" t="s">
        <v>897</v>
      </c>
      <c r="M65" s="40"/>
    </row>
    <row r="66" ht="15.75" customHeight="1">
      <c r="A66" s="40" t="s">
        <v>1020</v>
      </c>
      <c r="B66" s="40" t="s">
        <v>1021</v>
      </c>
      <c r="C66" s="40" t="s">
        <v>1021</v>
      </c>
      <c r="D66" s="40" t="s">
        <v>879</v>
      </c>
      <c r="E66" s="40" t="s">
        <v>879</v>
      </c>
      <c r="F66" s="40" t="s">
        <v>879</v>
      </c>
      <c r="G66" s="40"/>
      <c r="H66" s="40" t="s">
        <v>891</v>
      </c>
      <c r="I66" s="40"/>
      <c r="J66" s="40"/>
      <c r="K66" s="40">
        <v>1.0</v>
      </c>
      <c r="L66" s="40" t="s">
        <v>897</v>
      </c>
      <c r="M66" s="40"/>
    </row>
    <row r="67" ht="15.75" customHeight="1">
      <c r="A67" s="40" t="s">
        <v>1022</v>
      </c>
      <c r="B67" s="40" t="s">
        <v>1023</v>
      </c>
      <c r="C67" s="40" t="s">
        <v>1023</v>
      </c>
      <c r="D67" s="40" t="s">
        <v>879</v>
      </c>
      <c r="E67" s="40" t="s">
        <v>879</v>
      </c>
      <c r="F67" s="40" t="s">
        <v>879</v>
      </c>
      <c r="G67" s="40"/>
      <c r="H67" s="40" t="s">
        <v>891</v>
      </c>
      <c r="I67" s="40"/>
      <c r="J67" s="40"/>
      <c r="K67" s="40">
        <v>1.0</v>
      </c>
      <c r="L67" s="40" t="s">
        <v>897</v>
      </c>
      <c r="M67" s="40"/>
    </row>
    <row r="68" ht="15.75" customHeight="1">
      <c r="A68" s="40" t="s">
        <v>1024</v>
      </c>
      <c r="B68" s="40" t="s">
        <v>1025</v>
      </c>
      <c r="C68" s="40" t="s">
        <v>1025</v>
      </c>
      <c r="D68" s="40" t="s">
        <v>879</v>
      </c>
      <c r="E68" s="40" t="s">
        <v>879</v>
      </c>
      <c r="F68" s="40" t="s">
        <v>1026</v>
      </c>
      <c r="G68" s="40"/>
      <c r="H68" s="40" t="s">
        <v>891</v>
      </c>
      <c r="I68" s="40"/>
      <c r="J68" s="40"/>
      <c r="K68" s="40">
        <v>1.0</v>
      </c>
      <c r="L68" s="40" t="s">
        <v>892</v>
      </c>
      <c r="M68" s="40"/>
    </row>
    <row r="69" ht="15.75" customHeight="1">
      <c r="A69" s="40" t="s">
        <v>1027</v>
      </c>
      <c r="B69" s="40" t="s">
        <v>1028</v>
      </c>
      <c r="C69" s="40" t="s">
        <v>1028</v>
      </c>
      <c r="D69" s="40" t="s">
        <v>879</v>
      </c>
      <c r="E69" s="40" t="s">
        <v>879</v>
      </c>
      <c r="F69" s="40" t="s">
        <v>879</v>
      </c>
      <c r="G69" s="40"/>
      <c r="H69" s="40" t="s">
        <v>891</v>
      </c>
      <c r="I69" s="40"/>
      <c r="J69" s="40"/>
      <c r="K69" s="40">
        <v>1.0</v>
      </c>
      <c r="L69" s="40" t="s">
        <v>897</v>
      </c>
      <c r="M69" s="40"/>
    </row>
    <row r="70" ht="15.75" customHeight="1">
      <c r="A70" s="40" t="s">
        <v>1029</v>
      </c>
      <c r="B70" s="40" t="s">
        <v>624</v>
      </c>
      <c r="C70" s="40" t="s">
        <v>624</v>
      </c>
      <c r="D70" s="40" t="s">
        <v>879</v>
      </c>
      <c r="E70" s="40" t="s">
        <v>879</v>
      </c>
      <c r="F70" s="40" t="s">
        <v>879</v>
      </c>
      <c r="G70" s="40"/>
      <c r="H70" s="40" t="s">
        <v>891</v>
      </c>
      <c r="I70" s="40"/>
      <c r="J70" s="40"/>
      <c r="K70" s="40">
        <v>1.0</v>
      </c>
      <c r="L70" s="40" t="s">
        <v>897</v>
      </c>
      <c r="M70" s="40"/>
    </row>
    <row r="71" ht="15.75" customHeight="1">
      <c r="A71" s="40" t="s">
        <v>1030</v>
      </c>
      <c r="B71" s="40" t="s">
        <v>1031</v>
      </c>
      <c r="C71" s="40" t="s">
        <v>1031</v>
      </c>
      <c r="D71" s="40" t="s">
        <v>879</v>
      </c>
      <c r="E71" s="40" t="s">
        <v>879</v>
      </c>
      <c r="F71" s="40" t="s">
        <v>879</v>
      </c>
      <c r="G71" s="40"/>
      <c r="H71" s="40" t="s">
        <v>891</v>
      </c>
      <c r="I71" s="40"/>
      <c r="J71" s="40"/>
      <c r="K71" s="40">
        <v>1.0</v>
      </c>
      <c r="L71" s="40" t="s">
        <v>892</v>
      </c>
      <c r="M71" s="40"/>
    </row>
    <row r="72" ht="15.75" customHeight="1">
      <c r="A72" s="40" t="s">
        <v>1032</v>
      </c>
      <c r="B72" s="40" t="s">
        <v>1033</v>
      </c>
      <c r="C72" s="40" t="s">
        <v>1033</v>
      </c>
      <c r="D72" s="40" t="s">
        <v>879</v>
      </c>
      <c r="E72" s="40" t="s">
        <v>879</v>
      </c>
      <c r="F72" s="40" t="s">
        <v>879</v>
      </c>
      <c r="G72" s="40"/>
      <c r="H72" s="40" t="s">
        <v>891</v>
      </c>
      <c r="I72" s="40"/>
      <c r="J72" s="40"/>
      <c r="K72" s="40">
        <v>1.0</v>
      </c>
      <c r="L72" s="40" t="s">
        <v>897</v>
      </c>
      <c r="M72" s="40"/>
    </row>
    <row r="73" ht="15.75" customHeight="1">
      <c r="A73" s="40" t="s">
        <v>1034</v>
      </c>
      <c r="B73" s="40" t="s">
        <v>1035</v>
      </c>
      <c r="C73" s="40" t="s">
        <v>1035</v>
      </c>
      <c r="D73" s="40" t="s">
        <v>879</v>
      </c>
      <c r="E73" s="40" t="s">
        <v>879</v>
      </c>
      <c r="F73" s="40" t="s">
        <v>879</v>
      </c>
      <c r="G73" s="40"/>
      <c r="H73" s="40" t="s">
        <v>891</v>
      </c>
      <c r="I73" s="40"/>
      <c r="J73" s="40"/>
      <c r="K73" s="40">
        <v>1.0</v>
      </c>
      <c r="L73" s="40" t="s">
        <v>897</v>
      </c>
      <c r="M73" s="40"/>
    </row>
    <row r="74" ht="15.75" customHeight="1">
      <c r="A74" s="40" t="s">
        <v>1036</v>
      </c>
      <c r="B74" s="40" t="s">
        <v>1037</v>
      </c>
      <c r="C74" s="40" t="s">
        <v>1037</v>
      </c>
      <c r="D74" s="40" t="s">
        <v>879</v>
      </c>
      <c r="E74" s="40" t="s">
        <v>879</v>
      </c>
      <c r="F74" s="40" t="s">
        <v>879</v>
      </c>
      <c r="G74" s="40"/>
      <c r="H74" s="40" t="s">
        <v>891</v>
      </c>
      <c r="I74" s="40"/>
      <c r="J74" s="40"/>
      <c r="K74" s="40">
        <v>1.0</v>
      </c>
      <c r="L74" s="40" t="s">
        <v>892</v>
      </c>
      <c r="M74" s="40"/>
    </row>
    <row r="75" ht="15.75" customHeight="1">
      <c r="A75" s="40" t="s">
        <v>1038</v>
      </c>
      <c r="B75" s="40" t="s">
        <v>1039</v>
      </c>
      <c r="C75" s="40" t="s">
        <v>1039</v>
      </c>
      <c r="D75" s="40" t="s">
        <v>879</v>
      </c>
      <c r="E75" s="40" t="s">
        <v>879</v>
      </c>
      <c r="F75" s="40" t="s">
        <v>879</v>
      </c>
      <c r="G75" s="40"/>
      <c r="H75" s="40" t="s">
        <v>891</v>
      </c>
      <c r="I75" s="40"/>
      <c r="J75" s="40"/>
      <c r="K75" s="40">
        <v>1.0</v>
      </c>
      <c r="L75" s="40" t="s">
        <v>897</v>
      </c>
      <c r="M75" s="40"/>
    </row>
    <row r="76" ht="15.75" customHeight="1">
      <c r="A76" s="40" t="s">
        <v>1040</v>
      </c>
      <c r="B76" s="40" t="s">
        <v>1041</v>
      </c>
      <c r="C76" s="40" t="s">
        <v>1041</v>
      </c>
      <c r="D76" s="40" t="s">
        <v>879</v>
      </c>
      <c r="E76" s="40" t="s">
        <v>879</v>
      </c>
      <c r="F76" s="40" t="s">
        <v>879</v>
      </c>
      <c r="G76" s="40"/>
      <c r="H76" s="40" t="s">
        <v>891</v>
      </c>
      <c r="I76" s="40"/>
      <c r="J76" s="40"/>
      <c r="K76" s="40">
        <v>1.0</v>
      </c>
      <c r="L76" s="40" t="s">
        <v>892</v>
      </c>
      <c r="M76" s="40"/>
    </row>
    <row r="77" ht="15.75" customHeight="1">
      <c r="A77" s="40" t="s">
        <v>1042</v>
      </c>
      <c r="B77" s="40" t="s">
        <v>1043</v>
      </c>
      <c r="C77" s="40" t="s">
        <v>1043</v>
      </c>
      <c r="D77" s="40" t="s">
        <v>879</v>
      </c>
      <c r="E77" s="40" t="s">
        <v>879</v>
      </c>
      <c r="F77" s="40" t="s">
        <v>904</v>
      </c>
      <c r="G77" s="40"/>
      <c r="H77" s="40" t="s">
        <v>891</v>
      </c>
      <c r="I77" s="40"/>
      <c r="J77" s="40"/>
      <c r="K77" s="40">
        <v>1.0</v>
      </c>
      <c r="L77" s="40" t="s">
        <v>897</v>
      </c>
      <c r="M77" s="40"/>
    </row>
    <row r="78" ht="15.75" customHeight="1">
      <c r="A78" s="40" t="s">
        <v>1044</v>
      </c>
      <c r="B78" s="40" t="s">
        <v>1045</v>
      </c>
      <c r="C78" s="40" t="s">
        <v>1045</v>
      </c>
      <c r="D78" s="40" t="s">
        <v>879</v>
      </c>
      <c r="E78" s="40" t="s">
        <v>879</v>
      </c>
      <c r="F78" s="40" t="s">
        <v>879</v>
      </c>
      <c r="G78" s="40"/>
      <c r="H78" s="40" t="s">
        <v>891</v>
      </c>
      <c r="I78" s="40"/>
      <c r="J78" s="40"/>
      <c r="K78" s="40">
        <v>1.0</v>
      </c>
      <c r="L78" s="40" t="s">
        <v>892</v>
      </c>
      <c r="M78" s="40"/>
    </row>
    <row r="79" ht="15.75" customHeight="1">
      <c r="A79" s="40" t="s">
        <v>1046</v>
      </c>
      <c r="B79" s="40" t="s">
        <v>1047</v>
      </c>
      <c r="C79" s="40" t="s">
        <v>1047</v>
      </c>
      <c r="D79" s="40" t="s">
        <v>879</v>
      </c>
      <c r="E79" s="40" t="s">
        <v>879</v>
      </c>
      <c r="F79" s="40" t="s">
        <v>904</v>
      </c>
      <c r="G79" s="40"/>
      <c r="H79" s="40" t="s">
        <v>891</v>
      </c>
      <c r="I79" s="40"/>
      <c r="J79" s="40"/>
      <c r="K79" s="40">
        <v>1.0</v>
      </c>
      <c r="L79" s="40" t="s">
        <v>897</v>
      </c>
      <c r="M79" s="40"/>
    </row>
    <row r="80" ht="15.75" customHeight="1">
      <c r="A80" s="40" t="s">
        <v>1048</v>
      </c>
      <c r="B80" s="40" t="s">
        <v>1049</v>
      </c>
      <c r="C80" s="40" t="s">
        <v>1049</v>
      </c>
      <c r="D80" s="40" t="s">
        <v>879</v>
      </c>
      <c r="E80" s="40" t="s">
        <v>879</v>
      </c>
      <c r="F80" s="40" t="s">
        <v>879</v>
      </c>
      <c r="G80" s="40"/>
      <c r="H80" s="40" t="s">
        <v>891</v>
      </c>
      <c r="I80" s="40"/>
      <c r="J80" s="40"/>
      <c r="K80" s="40">
        <v>1.0</v>
      </c>
      <c r="L80" s="40" t="s">
        <v>897</v>
      </c>
      <c r="M80" s="40"/>
    </row>
    <row r="81" ht="15.75" customHeight="1">
      <c r="A81" s="40" t="s">
        <v>1050</v>
      </c>
      <c r="B81" s="40" t="s">
        <v>1051</v>
      </c>
      <c r="C81" s="40" t="s">
        <v>1051</v>
      </c>
      <c r="D81" s="40" t="s">
        <v>879</v>
      </c>
      <c r="E81" s="40" t="s">
        <v>879</v>
      </c>
      <c r="F81" s="40" t="s">
        <v>879</v>
      </c>
      <c r="G81" s="40"/>
      <c r="H81" s="40" t="s">
        <v>891</v>
      </c>
      <c r="I81" s="40"/>
      <c r="J81" s="40"/>
      <c r="K81" s="40">
        <v>1.0</v>
      </c>
      <c r="L81" s="40" t="s">
        <v>897</v>
      </c>
      <c r="M81" s="40"/>
    </row>
    <row r="82" ht="15.75" customHeight="1">
      <c r="A82" s="40" t="s">
        <v>1052</v>
      </c>
      <c r="B82" s="40" t="s">
        <v>1053</v>
      </c>
      <c r="C82" s="40" t="s">
        <v>1053</v>
      </c>
      <c r="D82" s="40" t="s">
        <v>879</v>
      </c>
      <c r="E82" s="40" t="s">
        <v>879</v>
      </c>
      <c r="F82" s="40" t="s">
        <v>879</v>
      </c>
      <c r="G82" s="40"/>
      <c r="H82" s="40" t="s">
        <v>891</v>
      </c>
      <c r="I82" s="40"/>
      <c r="J82" s="40"/>
      <c r="K82" s="40">
        <v>1.0</v>
      </c>
      <c r="L82" s="40" t="s">
        <v>892</v>
      </c>
      <c r="M82" s="40"/>
    </row>
    <row r="83" ht="15.75" customHeight="1">
      <c r="A83" s="40" t="s">
        <v>1054</v>
      </c>
      <c r="B83" s="40" t="s">
        <v>1055</v>
      </c>
      <c r="C83" s="40" t="s">
        <v>1055</v>
      </c>
      <c r="D83" s="40" t="s">
        <v>879</v>
      </c>
      <c r="E83" s="40" t="s">
        <v>879</v>
      </c>
      <c r="F83" s="40" t="s">
        <v>879</v>
      </c>
      <c r="G83" s="40"/>
      <c r="H83" s="40" t="s">
        <v>891</v>
      </c>
      <c r="I83" s="40"/>
      <c r="J83" s="40"/>
      <c r="K83" s="40">
        <v>1.0</v>
      </c>
      <c r="L83" s="40" t="s">
        <v>897</v>
      </c>
      <c r="M83" s="40"/>
    </row>
    <row r="84" ht="15.75" customHeight="1">
      <c r="A84" s="40" t="s">
        <v>1056</v>
      </c>
      <c r="B84" s="40" t="s">
        <v>1057</v>
      </c>
      <c r="C84" s="40" t="s">
        <v>1057</v>
      </c>
      <c r="D84" s="40" t="s">
        <v>879</v>
      </c>
      <c r="E84" s="40" t="s">
        <v>879</v>
      </c>
      <c r="F84" s="40" t="s">
        <v>879</v>
      </c>
      <c r="G84" s="40"/>
      <c r="H84" s="40" t="s">
        <v>891</v>
      </c>
      <c r="I84" s="40"/>
      <c r="J84" s="40"/>
      <c r="K84" s="40">
        <v>2.0</v>
      </c>
      <c r="L84" s="40" t="s">
        <v>897</v>
      </c>
      <c r="M84" s="40"/>
    </row>
    <row r="85" ht="15.75" customHeight="1">
      <c r="A85" s="40" t="s">
        <v>1058</v>
      </c>
      <c r="B85" s="40" t="s">
        <v>1059</v>
      </c>
      <c r="C85" s="40" t="s">
        <v>1059</v>
      </c>
      <c r="D85" s="40" t="s">
        <v>879</v>
      </c>
      <c r="E85" s="40" t="s">
        <v>879</v>
      </c>
      <c r="F85" s="40" t="s">
        <v>879</v>
      </c>
      <c r="G85" s="40"/>
      <c r="H85" s="40" t="s">
        <v>891</v>
      </c>
      <c r="I85" s="40"/>
      <c r="J85" s="40"/>
      <c r="K85" s="40">
        <v>1.0</v>
      </c>
      <c r="L85" s="40" t="s">
        <v>897</v>
      </c>
      <c r="M85" s="40"/>
    </row>
    <row r="86" ht="15.75" customHeight="1">
      <c r="A86" s="40" t="s">
        <v>1060</v>
      </c>
      <c r="B86" s="40" t="s">
        <v>1061</v>
      </c>
      <c r="C86" s="40" t="s">
        <v>1061</v>
      </c>
      <c r="D86" s="40" t="s">
        <v>879</v>
      </c>
      <c r="E86" s="40" t="s">
        <v>879</v>
      </c>
      <c r="F86" s="40" t="s">
        <v>879</v>
      </c>
      <c r="G86" s="40"/>
      <c r="H86" s="40" t="s">
        <v>891</v>
      </c>
      <c r="I86" s="40"/>
      <c r="J86" s="40"/>
      <c r="K86" s="40">
        <v>1.0</v>
      </c>
      <c r="L86" s="40" t="s">
        <v>968</v>
      </c>
      <c r="M86" s="40"/>
    </row>
    <row r="87" ht="15.75" customHeight="1">
      <c r="A87" s="40" t="s">
        <v>1062</v>
      </c>
      <c r="B87" s="40" t="s">
        <v>1063</v>
      </c>
      <c r="C87" s="40" t="s">
        <v>1063</v>
      </c>
      <c r="D87" s="40" t="s">
        <v>879</v>
      </c>
      <c r="E87" s="40" t="s">
        <v>879</v>
      </c>
      <c r="F87" s="40" t="s">
        <v>879</v>
      </c>
      <c r="G87" s="40"/>
      <c r="H87" s="40" t="s">
        <v>891</v>
      </c>
      <c r="I87" s="40"/>
      <c r="J87" s="40"/>
      <c r="K87" s="40">
        <v>1.0</v>
      </c>
      <c r="L87" s="40" t="s">
        <v>892</v>
      </c>
      <c r="M87" s="40"/>
    </row>
    <row r="88" ht="15.75" customHeight="1">
      <c r="A88" s="40" t="s">
        <v>1064</v>
      </c>
      <c r="B88" s="40" t="s">
        <v>1065</v>
      </c>
      <c r="C88" s="40" t="s">
        <v>1065</v>
      </c>
      <c r="D88" s="40" t="s">
        <v>879</v>
      </c>
      <c r="E88" s="40" t="s">
        <v>879</v>
      </c>
      <c r="F88" s="40" t="s">
        <v>879</v>
      </c>
      <c r="G88" s="40"/>
      <c r="H88" s="40" t="s">
        <v>891</v>
      </c>
      <c r="I88" s="40"/>
      <c r="J88" s="40"/>
      <c r="K88" s="40">
        <v>1.0</v>
      </c>
      <c r="L88" s="40" t="s">
        <v>897</v>
      </c>
      <c r="M88" s="40"/>
    </row>
    <row r="89" ht="15.75" customHeight="1">
      <c r="A89" s="40" t="s">
        <v>1066</v>
      </c>
      <c r="B89" s="40" t="s">
        <v>1067</v>
      </c>
      <c r="C89" s="40" t="s">
        <v>1067</v>
      </c>
      <c r="D89" s="40" t="s">
        <v>879</v>
      </c>
      <c r="E89" s="40" t="s">
        <v>879</v>
      </c>
      <c r="F89" s="40" t="s">
        <v>879</v>
      </c>
      <c r="G89" s="40"/>
      <c r="H89" s="40" t="s">
        <v>891</v>
      </c>
      <c r="I89" s="40"/>
      <c r="J89" s="40"/>
      <c r="K89" s="40">
        <v>1.0</v>
      </c>
      <c r="L89" s="40" t="s">
        <v>897</v>
      </c>
      <c r="M89" s="40"/>
    </row>
    <row r="90" ht="15.75" customHeight="1">
      <c r="A90" s="40" t="s">
        <v>1068</v>
      </c>
      <c r="B90" s="40" t="s">
        <v>1069</v>
      </c>
      <c r="C90" s="40" t="s">
        <v>1069</v>
      </c>
      <c r="D90" s="40" t="s">
        <v>879</v>
      </c>
      <c r="E90" s="40" t="s">
        <v>879</v>
      </c>
      <c r="F90" s="40" t="s">
        <v>879</v>
      </c>
      <c r="G90" s="40"/>
      <c r="H90" s="40" t="s">
        <v>891</v>
      </c>
      <c r="I90" s="40"/>
      <c r="J90" s="40"/>
      <c r="K90" s="40">
        <v>1.0</v>
      </c>
      <c r="L90" s="40" t="s">
        <v>892</v>
      </c>
      <c r="M90" s="40"/>
    </row>
    <row r="91" ht="15.75" customHeight="1">
      <c r="A91" s="40" t="s">
        <v>1070</v>
      </c>
      <c r="B91" s="40" t="s">
        <v>1071</v>
      </c>
      <c r="C91" s="40" t="s">
        <v>1071</v>
      </c>
      <c r="D91" s="40" t="s">
        <v>879</v>
      </c>
      <c r="E91" s="40" t="s">
        <v>879</v>
      </c>
      <c r="F91" s="40" t="s">
        <v>879</v>
      </c>
      <c r="G91" s="40"/>
      <c r="H91" s="40" t="s">
        <v>891</v>
      </c>
      <c r="I91" s="40"/>
      <c r="J91" s="40"/>
      <c r="K91" s="40">
        <v>1.0</v>
      </c>
      <c r="L91" s="40" t="s">
        <v>892</v>
      </c>
      <c r="M91" s="40"/>
    </row>
    <row r="92" ht="15.75" customHeight="1">
      <c r="A92" s="40" t="s">
        <v>1072</v>
      </c>
      <c r="B92" s="40" t="s">
        <v>1073</v>
      </c>
      <c r="C92" s="40" t="s">
        <v>1073</v>
      </c>
      <c r="D92" s="40" t="s">
        <v>879</v>
      </c>
      <c r="E92" s="40" t="s">
        <v>879</v>
      </c>
      <c r="F92" s="40" t="s">
        <v>904</v>
      </c>
      <c r="G92" s="40"/>
      <c r="H92" s="40" t="s">
        <v>891</v>
      </c>
      <c r="I92" s="40"/>
      <c r="J92" s="40"/>
      <c r="K92" s="40">
        <v>1.0</v>
      </c>
      <c r="L92" s="40" t="s">
        <v>897</v>
      </c>
      <c r="M92" s="40"/>
    </row>
    <row r="93" ht="15.75" customHeight="1">
      <c r="A93" s="40" t="s">
        <v>1074</v>
      </c>
      <c r="B93" s="40" t="s">
        <v>1075</v>
      </c>
      <c r="C93" s="40" t="s">
        <v>1075</v>
      </c>
      <c r="D93" s="40" t="s">
        <v>879</v>
      </c>
      <c r="E93" s="40" t="s">
        <v>879</v>
      </c>
      <c r="F93" s="40" t="s">
        <v>879</v>
      </c>
      <c r="G93" s="40"/>
      <c r="H93" s="40" t="s">
        <v>891</v>
      </c>
      <c r="I93" s="40"/>
      <c r="J93" s="40"/>
      <c r="K93" s="40">
        <v>1.0</v>
      </c>
      <c r="L93" s="40" t="s">
        <v>897</v>
      </c>
      <c r="M93" s="40"/>
    </row>
    <row r="94" ht="15.75" customHeight="1">
      <c r="A94" s="40" t="s">
        <v>1076</v>
      </c>
      <c r="B94" s="40" t="s">
        <v>1077</v>
      </c>
      <c r="C94" s="40" t="s">
        <v>1077</v>
      </c>
      <c r="D94" s="40" t="s">
        <v>879</v>
      </c>
      <c r="E94" s="40" t="s">
        <v>879</v>
      </c>
      <c r="F94" s="40" t="s">
        <v>879</v>
      </c>
      <c r="G94" s="40"/>
      <c r="H94" s="40" t="s">
        <v>891</v>
      </c>
      <c r="I94" s="40"/>
      <c r="J94" s="40"/>
      <c r="K94" s="40">
        <v>1.0</v>
      </c>
      <c r="L94" s="40" t="s">
        <v>897</v>
      </c>
      <c r="M94" s="40"/>
    </row>
    <row r="95" ht="15.75" customHeight="1">
      <c r="A95" s="40" t="s">
        <v>1078</v>
      </c>
      <c r="B95" s="40" t="s">
        <v>1079</v>
      </c>
      <c r="C95" s="40" t="s">
        <v>1079</v>
      </c>
      <c r="D95" s="40" t="s">
        <v>879</v>
      </c>
      <c r="E95" s="40" t="s">
        <v>879</v>
      </c>
      <c r="F95" s="40" t="s">
        <v>879</v>
      </c>
      <c r="G95" s="40"/>
      <c r="H95" s="40" t="s">
        <v>891</v>
      </c>
      <c r="I95" s="40"/>
      <c r="J95" s="40"/>
      <c r="K95" s="40">
        <v>1.0</v>
      </c>
      <c r="L95" s="40" t="s">
        <v>897</v>
      </c>
      <c r="M95" s="40"/>
    </row>
    <row r="96" ht="15.75" customHeight="1">
      <c r="A96" s="40" t="s">
        <v>1080</v>
      </c>
      <c r="B96" s="40" t="s">
        <v>1081</v>
      </c>
      <c r="C96" s="40" t="s">
        <v>1081</v>
      </c>
      <c r="D96" s="40" t="s">
        <v>879</v>
      </c>
      <c r="E96" s="40" t="s">
        <v>879</v>
      </c>
      <c r="F96" s="40" t="s">
        <v>879</v>
      </c>
      <c r="G96" s="40"/>
      <c r="H96" s="40" t="s">
        <v>891</v>
      </c>
      <c r="I96" s="40"/>
      <c r="J96" s="40"/>
      <c r="K96" s="40">
        <v>1.0</v>
      </c>
      <c r="L96" s="40" t="s">
        <v>897</v>
      </c>
      <c r="M96" s="40"/>
    </row>
    <row r="97" ht="15.75" customHeight="1">
      <c r="A97" s="40" t="s">
        <v>1082</v>
      </c>
      <c r="B97" s="40" t="s">
        <v>1083</v>
      </c>
      <c r="C97" s="40" t="s">
        <v>1083</v>
      </c>
      <c r="D97" s="40" t="s">
        <v>879</v>
      </c>
      <c r="E97" s="40" t="s">
        <v>879</v>
      </c>
      <c r="F97" s="40" t="s">
        <v>879</v>
      </c>
      <c r="G97" s="40"/>
      <c r="H97" s="40" t="s">
        <v>891</v>
      </c>
      <c r="I97" s="40"/>
      <c r="J97" s="40"/>
      <c r="K97" s="40">
        <v>1.0</v>
      </c>
      <c r="L97" s="40" t="s">
        <v>892</v>
      </c>
      <c r="M97" s="40"/>
    </row>
    <row r="98" ht="15.75" customHeight="1">
      <c r="A98" s="40" t="s">
        <v>1084</v>
      </c>
      <c r="B98" s="40" t="s">
        <v>1085</v>
      </c>
      <c r="C98" s="40" t="s">
        <v>1085</v>
      </c>
      <c r="D98" s="40" t="s">
        <v>879</v>
      </c>
      <c r="E98" s="40" t="s">
        <v>879</v>
      </c>
      <c r="F98" s="40" t="s">
        <v>879</v>
      </c>
      <c r="G98" s="40"/>
      <c r="H98" s="40" t="s">
        <v>891</v>
      </c>
      <c r="I98" s="40"/>
      <c r="J98" s="40"/>
      <c r="K98" s="40">
        <v>1.0</v>
      </c>
      <c r="L98" s="40" t="s">
        <v>897</v>
      </c>
      <c r="M98" s="40"/>
    </row>
    <row r="99" ht="15.75" customHeight="1">
      <c r="A99" s="40" t="s">
        <v>1086</v>
      </c>
      <c r="B99" s="40" t="s">
        <v>1087</v>
      </c>
      <c r="C99" s="40" t="s">
        <v>1087</v>
      </c>
      <c r="D99" s="40" t="s">
        <v>879</v>
      </c>
      <c r="E99" s="40" t="s">
        <v>879</v>
      </c>
      <c r="F99" s="40" t="s">
        <v>879</v>
      </c>
      <c r="G99" s="40"/>
      <c r="H99" s="40" t="s">
        <v>891</v>
      </c>
      <c r="I99" s="40"/>
      <c r="J99" s="40"/>
      <c r="K99" s="40">
        <v>1.0</v>
      </c>
      <c r="L99" s="40" t="s">
        <v>897</v>
      </c>
      <c r="M99" s="40"/>
    </row>
    <row r="100" ht="15.75" customHeight="1">
      <c r="A100" s="40" t="s">
        <v>1088</v>
      </c>
      <c r="B100" s="40" t="s">
        <v>1089</v>
      </c>
      <c r="C100" s="40" t="s">
        <v>1089</v>
      </c>
      <c r="D100" s="40" t="s">
        <v>879</v>
      </c>
      <c r="E100" s="40" t="s">
        <v>879</v>
      </c>
      <c r="F100" s="40" t="s">
        <v>879</v>
      </c>
      <c r="G100" s="40"/>
      <c r="H100" s="40" t="s">
        <v>891</v>
      </c>
      <c r="I100" s="40"/>
      <c r="J100" s="40"/>
      <c r="K100" s="40">
        <v>1.0</v>
      </c>
      <c r="L100" s="40" t="s">
        <v>892</v>
      </c>
      <c r="M100" s="40"/>
    </row>
    <row r="101" ht="15.75" customHeight="1">
      <c r="A101" s="40" t="s">
        <v>1090</v>
      </c>
      <c r="B101" s="40" t="s">
        <v>1091</v>
      </c>
      <c r="C101" s="40" t="s">
        <v>1091</v>
      </c>
      <c r="D101" s="40" t="s">
        <v>879</v>
      </c>
      <c r="E101" s="40" t="s">
        <v>879</v>
      </c>
      <c r="F101" s="40" t="s">
        <v>1092</v>
      </c>
      <c r="G101" s="40"/>
      <c r="H101" s="40" t="s">
        <v>891</v>
      </c>
      <c r="I101" s="40"/>
      <c r="J101" s="40"/>
      <c r="K101" s="40">
        <v>2.0</v>
      </c>
      <c r="L101" s="40" t="s">
        <v>1093</v>
      </c>
      <c r="M101" s="40"/>
    </row>
    <row r="102" ht="15.75" customHeight="1">
      <c r="A102" s="40" t="s">
        <v>1094</v>
      </c>
      <c r="B102" s="40" t="s">
        <v>1095</v>
      </c>
      <c r="C102" s="40" t="s">
        <v>1095</v>
      </c>
      <c r="D102" s="40" t="s">
        <v>879</v>
      </c>
      <c r="E102" s="40" t="s">
        <v>879</v>
      </c>
      <c r="F102" s="40" t="s">
        <v>879</v>
      </c>
      <c r="G102" s="40"/>
      <c r="H102" s="40" t="s">
        <v>891</v>
      </c>
      <c r="I102" s="40"/>
      <c r="J102" s="40"/>
      <c r="K102" s="40">
        <v>4.0</v>
      </c>
      <c r="L102" s="40" t="s">
        <v>897</v>
      </c>
      <c r="M102" s="40"/>
    </row>
    <row r="103" ht="15.75" customHeight="1">
      <c r="A103" s="40" t="s">
        <v>1096</v>
      </c>
      <c r="B103" s="40" t="s">
        <v>1097</v>
      </c>
      <c r="C103" s="40" t="s">
        <v>1097</v>
      </c>
      <c r="D103" s="40" t="s">
        <v>879</v>
      </c>
      <c r="E103" s="40" t="s">
        <v>879</v>
      </c>
      <c r="F103" s="40" t="s">
        <v>1092</v>
      </c>
      <c r="G103" s="40"/>
      <c r="H103" s="40" t="s">
        <v>891</v>
      </c>
      <c r="I103" s="40"/>
      <c r="J103" s="40"/>
      <c r="K103" s="40">
        <v>2.0</v>
      </c>
      <c r="L103" s="40" t="s">
        <v>1093</v>
      </c>
      <c r="M103" s="40"/>
    </row>
    <row r="104" ht="15.75" customHeight="1">
      <c r="A104" s="40" t="s">
        <v>1098</v>
      </c>
      <c r="B104" s="40" t="s">
        <v>1099</v>
      </c>
      <c r="C104" s="40" t="s">
        <v>1099</v>
      </c>
      <c r="D104" s="40" t="s">
        <v>879</v>
      </c>
      <c r="E104" s="40" t="s">
        <v>879</v>
      </c>
      <c r="F104" s="40" t="s">
        <v>1092</v>
      </c>
      <c r="G104" s="40"/>
      <c r="H104" s="40" t="s">
        <v>891</v>
      </c>
      <c r="I104" s="40"/>
      <c r="J104" s="40"/>
      <c r="K104" s="40">
        <v>2.0</v>
      </c>
      <c r="L104" s="40" t="s">
        <v>1093</v>
      </c>
      <c r="M104" s="40"/>
    </row>
    <row r="105" ht="15.75" customHeight="1">
      <c r="A105" s="40" t="s">
        <v>1100</v>
      </c>
      <c r="B105" s="40" t="s">
        <v>1101</v>
      </c>
      <c r="C105" s="40" t="s">
        <v>1101</v>
      </c>
      <c r="D105" s="40" t="s">
        <v>879</v>
      </c>
      <c r="E105" s="40" t="s">
        <v>879</v>
      </c>
      <c r="F105" s="40" t="s">
        <v>1092</v>
      </c>
      <c r="G105" s="40"/>
      <c r="H105" s="40" t="s">
        <v>891</v>
      </c>
      <c r="I105" s="40"/>
      <c r="J105" s="40"/>
      <c r="K105" s="40">
        <v>1.0</v>
      </c>
      <c r="L105" s="40" t="s">
        <v>1093</v>
      </c>
      <c r="M105" s="40"/>
    </row>
    <row r="106" ht="15.75" customHeight="1">
      <c r="A106" s="40" t="s">
        <v>1102</v>
      </c>
      <c r="B106" s="40" t="s">
        <v>1103</v>
      </c>
      <c r="C106" s="40" t="s">
        <v>1103</v>
      </c>
      <c r="D106" s="40" t="s">
        <v>879</v>
      </c>
      <c r="E106" s="40" t="s">
        <v>879</v>
      </c>
      <c r="F106" s="40" t="s">
        <v>879</v>
      </c>
      <c r="G106" s="40"/>
      <c r="H106" s="40" t="s">
        <v>891</v>
      </c>
      <c r="I106" s="40"/>
      <c r="J106" s="40"/>
      <c r="K106" s="40">
        <v>2.0</v>
      </c>
      <c r="L106" s="40" t="s">
        <v>897</v>
      </c>
      <c r="M106" s="40"/>
    </row>
    <row r="107" ht="15.75" customHeight="1">
      <c r="A107" s="40" t="s">
        <v>1104</v>
      </c>
      <c r="B107" s="40" t="s">
        <v>1105</v>
      </c>
      <c r="C107" s="40" t="s">
        <v>1105</v>
      </c>
      <c r="D107" s="40" t="s">
        <v>879</v>
      </c>
      <c r="E107" s="40" t="s">
        <v>879</v>
      </c>
      <c r="F107" s="40" t="s">
        <v>879</v>
      </c>
      <c r="G107" s="40"/>
      <c r="H107" s="40" t="s">
        <v>891</v>
      </c>
      <c r="I107" s="40"/>
      <c r="J107" s="40"/>
      <c r="K107" s="40">
        <v>1.0</v>
      </c>
      <c r="L107" s="40" t="s">
        <v>897</v>
      </c>
      <c r="M107" s="40"/>
    </row>
    <row r="108" ht="15.75" customHeight="1">
      <c r="A108" s="40" t="s">
        <v>1106</v>
      </c>
      <c r="B108" s="40" t="s">
        <v>1107</v>
      </c>
      <c r="C108" s="40" t="s">
        <v>1108</v>
      </c>
      <c r="D108" s="40" t="s">
        <v>879</v>
      </c>
      <c r="E108" s="40" t="s">
        <v>879</v>
      </c>
      <c r="F108" s="40" t="s">
        <v>879</v>
      </c>
      <c r="G108" s="40"/>
      <c r="H108" s="40" t="s">
        <v>891</v>
      </c>
      <c r="I108" s="40"/>
      <c r="J108" s="40"/>
      <c r="K108" s="40">
        <v>1.0</v>
      </c>
      <c r="L108" s="40" t="s">
        <v>1109</v>
      </c>
      <c r="M108" s="40"/>
    </row>
    <row r="109" ht="15.75" customHeight="1">
      <c r="A109" s="40" t="s">
        <v>1110</v>
      </c>
      <c r="B109" s="40" t="s">
        <v>1111</v>
      </c>
      <c r="C109" s="40" t="s">
        <v>1111</v>
      </c>
      <c r="D109" s="40" t="s">
        <v>879</v>
      </c>
      <c r="E109" s="40" t="s">
        <v>879</v>
      </c>
      <c r="F109" s="40" t="s">
        <v>1092</v>
      </c>
      <c r="G109" s="40"/>
      <c r="H109" s="40" t="s">
        <v>891</v>
      </c>
      <c r="I109" s="40"/>
      <c r="J109" s="40"/>
      <c r="K109" s="40">
        <v>1.0</v>
      </c>
      <c r="L109" s="40" t="s">
        <v>1093</v>
      </c>
      <c r="M109" s="40"/>
    </row>
    <row r="110" ht="15.75" customHeight="1">
      <c r="A110" s="40" t="s">
        <v>1112</v>
      </c>
      <c r="B110" s="40" t="s">
        <v>1113</v>
      </c>
      <c r="C110" s="40" t="s">
        <v>1113</v>
      </c>
      <c r="D110" s="40" t="s">
        <v>879</v>
      </c>
      <c r="E110" s="40" t="s">
        <v>879</v>
      </c>
      <c r="F110" s="40" t="s">
        <v>879</v>
      </c>
      <c r="G110" s="40"/>
      <c r="H110" s="40" t="s">
        <v>891</v>
      </c>
      <c r="I110" s="40"/>
      <c r="J110" s="40"/>
      <c r="K110" s="40">
        <v>1.0</v>
      </c>
      <c r="L110" s="40" t="s">
        <v>892</v>
      </c>
      <c r="M110" s="40"/>
    </row>
    <row r="111" ht="15.75" customHeight="1">
      <c r="A111" s="40" t="s">
        <v>1114</v>
      </c>
      <c r="B111" s="40" t="s">
        <v>1115</v>
      </c>
      <c r="C111" s="40" t="s">
        <v>1115</v>
      </c>
      <c r="D111" s="40" t="s">
        <v>879</v>
      </c>
      <c r="E111" s="40" t="s">
        <v>879</v>
      </c>
      <c r="F111" s="40" t="s">
        <v>1116</v>
      </c>
      <c r="G111" s="40"/>
      <c r="H111" s="40" t="s">
        <v>891</v>
      </c>
      <c r="I111" s="40"/>
      <c r="J111" s="40"/>
      <c r="K111" s="40">
        <v>4.0</v>
      </c>
      <c r="L111" s="40" t="s">
        <v>1117</v>
      </c>
      <c r="M111" s="40"/>
    </row>
    <row r="112" ht="15.75" customHeight="1">
      <c r="A112" s="40" t="s">
        <v>1118</v>
      </c>
      <c r="B112" s="40" t="s">
        <v>1119</v>
      </c>
      <c r="C112" s="40" t="s">
        <v>1119</v>
      </c>
      <c r="D112" s="40" t="s">
        <v>879</v>
      </c>
      <c r="E112" s="40" t="s">
        <v>879</v>
      </c>
      <c r="F112" s="40" t="s">
        <v>879</v>
      </c>
      <c r="G112" s="40"/>
      <c r="H112" s="40" t="s">
        <v>891</v>
      </c>
      <c r="I112" s="40"/>
      <c r="J112" s="40"/>
      <c r="K112" s="40">
        <v>6.0</v>
      </c>
      <c r="L112" s="40" t="s">
        <v>897</v>
      </c>
      <c r="M112" s="40"/>
    </row>
    <row r="113" ht="15.75" customHeight="1">
      <c r="A113" s="40" t="s">
        <v>1120</v>
      </c>
      <c r="B113" s="40" t="s">
        <v>1121</v>
      </c>
      <c r="C113" s="40" t="s">
        <v>1121</v>
      </c>
      <c r="D113" s="40" t="s">
        <v>879</v>
      </c>
      <c r="E113" s="40" t="s">
        <v>879</v>
      </c>
      <c r="F113" s="40" t="s">
        <v>1116</v>
      </c>
      <c r="G113" s="40"/>
      <c r="H113" s="40" t="s">
        <v>891</v>
      </c>
      <c r="I113" s="40"/>
      <c r="J113" s="40"/>
      <c r="K113" s="40">
        <v>5.0</v>
      </c>
      <c r="L113" s="40" t="s">
        <v>1117</v>
      </c>
      <c r="M113" s="40"/>
    </row>
    <row r="114" ht="15.75" customHeight="1">
      <c r="A114" s="40" t="s">
        <v>1122</v>
      </c>
      <c r="B114" s="40" t="s">
        <v>1123</v>
      </c>
      <c r="C114" s="40" t="s">
        <v>1123</v>
      </c>
      <c r="D114" s="40" t="s">
        <v>879</v>
      </c>
      <c r="E114" s="40" t="s">
        <v>879</v>
      </c>
      <c r="F114" s="40" t="s">
        <v>1116</v>
      </c>
      <c r="G114" s="40"/>
      <c r="H114" s="40" t="s">
        <v>891</v>
      </c>
      <c r="I114" s="40"/>
      <c r="J114" s="40"/>
      <c r="K114" s="40">
        <v>4.0</v>
      </c>
      <c r="L114" s="40" t="s">
        <v>1117</v>
      </c>
      <c r="M114" s="40"/>
    </row>
    <row r="115" ht="15.75" customHeight="1">
      <c r="A115" s="40" t="s">
        <v>1124</v>
      </c>
      <c r="B115" s="40" t="s">
        <v>1125</v>
      </c>
      <c r="C115" s="40" t="s">
        <v>1125</v>
      </c>
      <c r="D115" s="40" t="s">
        <v>879</v>
      </c>
      <c r="E115" s="40" t="s">
        <v>879</v>
      </c>
      <c r="F115" s="40" t="s">
        <v>879</v>
      </c>
      <c r="G115" s="40"/>
      <c r="H115" s="40" t="s">
        <v>891</v>
      </c>
      <c r="I115" s="40"/>
      <c r="J115" s="40"/>
      <c r="K115" s="40">
        <v>1.0</v>
      </c>
      <c r="L115" s="40" t="s">
        <v>892</v>
      </c>
      <c r="M115" s="40"/>
    </row>
    <row r="116" ht="15.75" customHeight="1">
      <c r="A116" s="40" t="s">
        <v>1126</v>
      </c>
      <c r="B116" s="40" t="s">
        <v>1127</v>
      </c>
      <c r="C116" s="40" t="s">
        <v>1127</v>
      </c>
      <c r="D116" s="40" t="s">
        <v>879</v>
      </c>
      <c r="E116" s="40" t="s">
        <v>879</v>
      </c>
      <c r="F116" s="40" t="s">
        <v>1116</v>
      </c>
      <c r="G116" s="40"/>
      <c r="H116" s="40" t="s">
        <v>891</v>
      </c>
      <c r="I116" s="40"/>
      <c r="J116" s="40"/>
      <c r="K116" s="40">
        <v>2.0</v>
      </c>
      <c r="L116" s="40" t="s">
        <v>1117</v>
      </c>
      <c r="M116" s="40"/>
    </row>
    <row r="117" ht="15.75" customHeight="1">
      <c r="A117" s="40" t="s">
        <v>1128</v>
      </c>
      <c r="B117" s="40" t="s">
        <v>1129</v>
      </c>
      <c r="C117" s="40" t="s">
        <v>1129</v>
      </c>
      <c r="D117" s="40" t="s">
        <v>879</v>
      </c>
      <c r="E117" s="40" t="s">
        <v>879</v>
      </c>
      <c r="F117" s="40" t="s">
        <v>879</v>
      </c>
      <c r="G117" s="40"/>
      <c r="H117" s="40" t="s">
        <v>891</v>
      </c>
      <c r="I117" s="40"/>
      <c r="J117" s="40"/>
      <c r="K117" s="40">
        <v>6.0</v>
      </c>
      <c r="L117" s="40" t="s">
        <v>892</v>
      </c>
      <c r="M117" s="40"/>
    </row>
    <row r="118" ht="15.75" customHeight="1">
      <c r="A118" s="40" t="s">
        <v>1130</v>
      </c>
      <c r="B118" s="40" t="s">
        <v>1131</v>
      </c>
      <c r="C118" s="40" t="s">
        <v>1131</v>
      </c>
      <c r="D118" s="40" t="s">
        <v>879</v>
      </c>
      <c r="E118" s="40" t="s">
        <v>879</v>
      </c>
      <c r="F118" s="40" t="s">
        <v>1116</v>
      </c>
      <c r="G118" s="40"/>
      <c r="H118" s="40" t="s">
        <v>891</v>
      </c>
      <c r="I118" s="40"/>
      <c r="J118" s="40"/>
      <c r="K118" s="40">
        <v>1.0</v>
      </c>
      <c r="L118" s="40" t="s">
        <v>1117</v>
      </c>
      <c r="M118" s="40"/>
    </row>
    <row r="119" ht="15.75" customHeight="1">
      <c r="A119" s="40" t="s">
        <v>1132</v>
      </c>
      <c r="B119" s="40" t="s">
        <v>1133</v>
      </c>
      <c r="C119" s="40" t="s">
        <v>1133</v>
      </c>
      <c r="D119" s="40" t="s">
        <v>879</v>
      </c>
      <c r="E119" s="40" t="s">
        <v>879</v>
      </c>
      <c r="F119" s="40" t="s">
        <v>879</v>
      </c>
      <c r="G119" s="40"/>
      <c r="H119" s="40" t="s">
        <v>891</v>
      </c>
      <c r="I119" s="40"/>
      <c r="J119" s="40"/>
      <c r="K119" s="40">
        <v>1.0</v>
      </c>
      <c r="L119" s="40" t="s">
        <v>1117</v>
      </c>
      <c r="M119" s="40"/>
    </row>
    <row r="120" ht="15.75" customHeight="1">
      <c r="A120" s="40" t="s">
        <v>1134</v>
      </c>
      <c r="B120" s="40" t="s">
        <v>1135</v>
      </c>
      <c r="C120" s="40" t="s">
        <v>1135</v>
      </c>
      <c r="D120" s="40" t="s">
        <v>879</v>
      </c>
      <c r="E120" s="40" t="s">
        <v>879</v>
      </c>
      <c r="F120" s="40" t="s">
        <v>879</v>
      </c>
      <c r="G120" s="40"/>
      <c r="H120" s="40" t="s">
        <v>891</v>
      </c>
      <c r="I120" s="40"/>
      <c r="J120" s="40"/>
      <c r="K120" s="40">
        <v>1.0</v>
      </c>
      <c r="L120" s="40" t="s">
        <v>897</v>
      </c>
      <c r="M120" s="40"/>
    </row>
    <row r="121" ht="15.75" customHeight="1">
      <c r="A121" s="40" t="s">
        <v>1136</v>
      </c>
      <c r="B121" s="40" t="s">
        <v>1137</v>
      </c>
      <c r="C121" s="40" t="s">
        <v>1137</v>
      </c>
      <c r="D121" s="40" t="s">
        <v>879</v>
      </c>
      <c r="E121" s="40" t="s">
        <v>879</v>
      </c>
      <c r="F121" s="40" t="s">
        <v>1116</v>
      </c>
      <c r="G121" s="40"/>
      <c r="H121" s="40" t="s">
        <v>891</v>
      </c>
      <c r="I121" s="40"/>
      <c r="J121" s="40"/>
      <c r="K121" s="40">
        <v>2.0</v>
      </c>
      <c r="L121" s="40" t="s">
        <v>1117</v>
      </c>
      <c r="M121" s="40"/>
    </row>
    <row r="122" ht="15.75" customHeight="1">
      <c r="A122" s="40" t="s">
        <v>1138</v>
      </c>
      <c r="B122" s="40" t="s">
        <v>1139</v>
      </c>
      <c r="C122" s="40" t="s">
        <v>1139</v>
      </c>
      <c r="D122" s="40" t="s">
        <v>879</v>
      </c>
      <c r="E122" s="40" t="s">
        <v>879</v>
      </c>
      <c r="F122" s="40" t="s">
        <v>879</v>
      </c>
      <c r="G122" s="40"/>
      <c r="H122" s="40" t="s">
        <v>891</v>
      </c>
      <c r="I122" s="40"/>
      <c r="J122" s="40"/>
      <c r="K122" s="40">
        <v>1.0</v>
      </c>
      <c r="L122" s="40" t="s">
        <v>892</v>
      </c>
      <c r="M122" s="40"/>
    </row>
    <row r="123" ht="15.75" customHeight="1">
      <c r="A123" s="40" t="s">
        <v>1140</v>
      </c>
      <c r="B123" s="40" t="s">
        <v>1141</v>
      </c>
      <c r="C123" s="40" t="s">
        <v>1141</v>
      </c>
      <c r="D123" s="40" t="s">
        <v>879</v>
      </c>
      <c r="E123" s="40" t="s">
        <v>879</v>
      </c>
      <c r="F123" s="40" t="s">
        <v>1116</v>
      </c>
      <c r="G123" s="40"/>
      <c r="H123" s="40" t="s">
        <v>891</v>
      </c>
      <c r="I123" s="40"/>
      <c r="J123" s="40"/>
      <c r="K123" s="40">
        <v>1.0</v>
      </c>
      <c r="L123" s="40" t="s">
        <v>1117</v>
      </c>
      <c r="M123" s="40"/>
    </row>
    <row r="124" ht="15.75" customHeight="1">
      <c r="A124" s="40" t="s">
        <v>1142</v>
      </c>
      <c r="B124" s="40" t="s">
        <v>1143</v>
      </c>
      <c r="C124" s="40" t="s">
        <v>1143</v>
      </c>
      <c r="D124" s="40" t="s">
        <v>879</v>
      </c>
      <c r="E124" s="40" t="s">
        <v>879</v>
      </c>
      <c r="F124" s="40" t="s">
        <v>1116</v>
      </c>
      <c r="G124" s="40"/>
      <c r="H124" s="40" t="s">
        <v>891</v>
      </c>
      <c r="I124" s="40"/>
      <c r="J124" s="40"/>
      <c r="K124" s="40">
        <v>2.0</v>
      </c>
      <c r="L124" s="40" t="s">
        <v>1117</v>
      </c>
      <c r="M124" s="40"/>
    </row>
    <row r="125" ht="15.75" customHeight="1">
      <c r="A125" s="40" t="s">
        <v>1144</v>
      </c>
      <c r="B125" s="40" t="s">
        <v>1145</v>
      </c>
      <c r="C125" s="40" t="s">
        <v>1145</v>
      </c>
      <c r="D125" s="40" t="s">
        <v>879</v>
      </c>
      <c r="E125" s="40" t="s">
        <v>879</v>
      </c>
      <c r="F125" s="40" t="s">
        <v>1146</v>
      </c>
      <c r="G125" s="40"/>
      <c r="H125" s="40" t="s">
        <v>891</v>
      </c>
      <c r="I125" s="40"/>
      <c r="J125" s="40"/>
      <c r="K125" s="40">
        <v>2.0</v>
      </c>
      <c r="L125" s="40" t="s">
        <v>1117</v>
      </c>
      <c r="M125" s="40"/>
    </row>
    <row r="126" ht="15.75" customHeight="1">
      <c r="A126" s="40" t="s">
        <v>1147</v>
      </c>
      <c r="B126" s="40" t="s">
        <v>1148</v>
      </c>
      <c r="C126" s="40" t="s">
        <v>1148</v>
      </c>
      <c r="D126" s="40" t="s">
        <v>879</v>
      </c>
      <c r="E126" s="40" t="s">
        <v>879</v>
      </c>
      <c r="F126" s="40" t="s">
        <v>879</v>
      </c>
      <c r="G126" s="40"/>
      <c r="H126" s="40" t="s">
        <v>891</v>
      </c>
      <c r="I126" s="40"/>
      <c r="J126" s="40"/>
      <c r="K126" s="40">
        <v>6.0</v>
      </c>
      <c r="L126" s="40" t="s">
        <v>892</v>
      </c>
      <c r="M126" s="40"/>
    </row>
    <row r="127" ht="15.75" customHeight="1">
      <c r="A127" s="40" t="s">
        <v>1149</v>
      </c>
      <c r="B127" s="40" t="s">
        <v>1150</v>
      </c>
      <c r="C127" s="40" t="s">
        <v>1150</v>
      </c>
      <c r="D127" s="40" t="s">
        <v>879</v>
      </c>
      <c r="E127" s="40" t="s">
        <v>879</v>
      </c>
      <c r="F127" s="40" t="s">
        <v>879</v>
      </c>
      <c r="G127" s="40"/>
      <c r="H127" s="40" t="s">
        <v>891</v>
      </c>
      <c r="I127" s="40"/>
      <c r="J127" s="40"/>
      <c r="K127" s="40">
        <v>1.0</v>
      </c>
      <c r="L127" s="40" t="s">
        <v>1117</v>
      </c>
      <c r="M127" s="40"/>
    </row>
    <row r="128" ht="15.75" customHeight="1">
      <c r="A128" s="40" t="s">
        <v>1151</v>
      </c>
      <c r="B128" s="40" t="s">
        <v>1152</v>
      </c>
      <c r="C128" s="40" t="s">
        <v>1152</v>
      </c>
      <c r="D128" s="40" t="s">
        <v>879</v>
      </c>
      <c r="E128" s="40" t="s">
        <v>879</v>
      </c>
      <c r="F128" s="40" t="s">
        <v>1153</v>
      </c>
      <c r="G128" s="40"/>
      <c r="H128" s="40" t="s">
        <v>891</v>
      </c>
      <c r="I128" s="40"/>
      <c r="J128" s="40"/>
      <c r="K128" s="40">
        <v>1.0</v>
      </c>
      <c r="L128" s="40" t="s">
        <v>897</v>
      </c>
      <c r="M128" s="40"/>
    </row>
    <row r="129" ht="15.75" customHeight="1">
      <c r="A129" s="40" t="s">
        <v>1154</v>
      </c>
      <c r="B129" s="40" t="s">
        <v>1155</v>
      </c>
      <c r="C129" s="40" t="s">
        <v>1155</v>
      </c>
      <c r="D129" s="40" t="s">
        <v>879</v>
      </c>
      <c r="E129" s="40" t="s">
        <v>879</v>
      </c>
      <c r="F129" s="40" t="s">
        <v>1116</v>
      </c>
      <c r="G129" s="40"/>
      <c r="H129" s="40" t="s">
        <v>891</v>
      </c>
      <c r="I129" s="40"/>
      <c r="J129" s="40"/>
      <c r="K129" s="40">
        <v>2.0</v>
      </c>
      <c r="L129" s="40" t="s">
        <v>1117</v>
      </c>
      <c r="M129" s="40"/>
    </row>
    <row r="130" ht="15.75" customHeight="1">
      <c r="A130" s="40" t="s">
        <v>1156</v>
      </c>
      <c r="B130" s="40" t="s">
        <v>1157</v>
      </c>
      <c r="C130" s="40" t="s">
        <v>1157</v>
      </c>
      <c r="D130" s="40" t="s">
        <v>879</v>
      </c>
      <c r="E130" s="40" t="s">
        <v>879</v>
      </c>
      <c r="F130" s="40" t="s">
        <v>1146</v>
      </c>
      <c r="G130" s="40"/>
      <c r="H130" s="40" t="s">
        <v>891</v>
      </c>
      <c r="I130" s="40"/>
      <c r="J130" s="40"/>
      <c r="K130" s="40">
        <v>2.0</v>
      </c>
      <c r="L130" s="40" t="s">
        <v>1117</v>
      </c>
      <c r="M130" s="40"/>
    </row>
    <row r="131" ht="15.75" customHeight="1">
      <c r="A131" s="40" t="s">
        <v>1158</v>
      </c>
      <c r="B131" s="40" t="s">
        <v>1159</v>
      </c>
      <c r="C131" s="40" t="s">
        <v>1159</v>
      </c>
      <c r="D131" s="40" t="s">
        <v>879</v>
      </c>
      <c r="E131" s="40" t="s">
        <v>879</v>
      </c>
      <c r="F131" s="40" t="s">
        <v>1116</v>
      </c>
      <c r="G131" s="40"/>
      <c r="H131" s="40" t="s">
        <v>891</v>
      </c>
      <c r="I131" s="40"/>
      <c r="J131" s="40"/>
      <c r="K131" s="40">
        <v>2.0</v>
      </c>
      <c r="L131" s="40" t="s">
        <v>1117</v>
      </c>
      <c r="M131" s="40"/>
    </row>
    <row r="132" ht="15.75" customHeight="1">
      <c r="A132" s="40" t="s">
        <v>1160</v>
      </c>
      <c r="B132" s="40" t="s">
        <v>1161</v>
      </c>
      <c r="C132" s="40" t="s">
        <v>1161</v>
      </c>
      <c r="D132" s="40" t="s">
        <v>879</v>
      </c>
      <c r="E132" s="40" t="s">
        <v>879</v>
      </c>
      <c r="F132" s="40" t="s">
        <v>879</v>
      </c>
      <c r="G132" s="40"/>
      <c r="H132" s="40" t="s">
        <v>891</v>
      </c>
      <c r="I132" s="40"/>
      <c r="J132" s="40"/>
      <c r="K132" s="40">
        <v>2.0</v>
      </c>
      <c r="L132" s="40" t="s">
        <v>897</v>
      </c>
      <c r="M132" s="40"/>
    </row>
    <row r="133" ht="15.75" customHeight="1">
      <c r="A133" s="40" t="s">
        <v>1162</v>
      </c>
      <c r="B133" s="40" t="s">
        <v>1163</v>
      </c>
      <c r="C133" s="40" t="s">
        <v>1163</v>
      </c>
      <c r="D133" s="40" t="s">
        <v>879</v>
      </c>
      <c r="E133" s="40" t="s">
        <v>879</v>
      </c>
      <c r="F133" s="40" t="s">
        <v>879</v>
      </c>
      <c r="G133" s="40"/>
      <c r="H133" s="40" t="s">
        <v>891</v>
      </c>
      <c r="I133" s="40"/>
      <c r="J133" s="40"/>
      <c r="K133" s="40">
        <v>1.0</v>
      </c>
      <c r="L133" s="40" t="s">
        <v>897</v>
      </c>
      <c r="M133" s="40"/>
    </row>
    <row r="134" ht="15.75" customHeight="1">
      <c r="A134" s="40" t="s">
        <v>1164</v>
      </c>
      <c r="B134" s="40" t="s">
        <v>1107</v>
      </c>
      <c r="C134" s="40" t="s">
        <v>1107</v>
      </c>
      <c r="D134" s="40" t="s">
        <v>879</v>
      </c>
      <c r="E134" s="40" t="s">
        <v>879</v>
      </c>
      <c r="F134" s="40" t="s">
        <v>879</v>
      </c>
      <c r="G134" s="40"/>
      <c r="H134" s="40" t="s">
        <v>891</v>
      </c>
      <c r="I134" s="40"/>
      <c r="J134" s="40"/>
      <c r="K134" s="40">
        <v>1.0</v>
      </c>
      <c r="L134" s="40" t="s">
        <v>897</v>
      </c>
      <c r="M134" s="40"/>
    </row>
    <row r="135" ht="15.75" customHeight="1">
      <c r="A135" s="40" t="s">
        <v>1165</v>
      </c>
      <c r="B135" s="40" t="s">
        <v>1107</v>
      </c>
      <c r="C135" s="40" t="s">
        <v>1166</v>
      </c>
      <c r="D135" s="40" t="s">
        <v>879</v>
      </c>
      <c r="E135" s="40" t="s">
        <v>879</v>
      </c>
      <c r="F135" s="40" t="s">
        <v>879</v>
      </c>
      <c r="G135" s="40"/>
      <c r="H135" s="40" t="s">
        <v>891</v>
      </c>
      <c r="I135" s="40"/>
      <c r="J135" s="40"/>
      <c r="K135" s="40">
        <v>2.0</v>
      </c>
      <c r="L135" s="40" t="s">
        <v>1109</v>
      </c>
      <c r="M135" s="40"/>
    </row>
    <row r="136" ht="15.75" customHeight="1">
      <c r="A136" s="40" t="s">
        <v>1167</v>
      </c>
      <c r="B136" s="40" t="s">
        <v>1168</v>
      </c>
      <c r="C136" s="40" t="s">
        <v>1168</v>
      </c>
      <c r="D136" s="40" t="s">
        <v>879</v>
      </c>
      <c r="E136" s="40" t="s">
        <v>879</v>
      </c>
      <c r="F136" s="40" t="s">
        <v>879</v>
      </c>
      <c r="G136" s="40"/>
      <c r="H136" s="40" t="s">
        <v>891</v>
      </c>
      <c r="I136" s="40"/>
      <c r="J136" s="40"/>
      <c r="K136" s="40">
        <v>1.0</v>
      </c>
      <c r="L136" s="40" t="s">
        <v>892</v>
      </c>
      <c r="M136" s="40"/>
    </row>
    <row r="137" ht="15.75" customHeight="1">
      <c r="A137" s="40" t="s">
        <v>1169</v>
      </c>
      <c r="B137" s="40" t="s">
        <v>1170</v>
      </c>
      <c r="C137" s="40" t="s">
        <v>1170</v>
      </c>
      <c r="D137" s="40" t="s">
        <v>879</v>
      </c>
      <c r="E137" s="40" t="s">
        <v>879</v>
      </c>
      <c r="F137" s="40" t="s">
        <v>879</v>
      </c>
      <c r="G137" s="40"/>
      <c r="H137" s="40" t="s">
        <v>891</v>
      </c>
      <c r="I137" s="40"/>
      <c r="J137" s="40"/>
      <c r="K137" s="40">
        <v>1.0</v>
      </c>
      <c r="L137" s="40" t="s">
        <v>892</v>
      </c>
      <c r="M137" s="40"/>
    </row>
    <row r="138" ht="15.75" customHeight="1">
      <c r="A138" s="40" t="s">
        <v>1171</v>
      </c>
      <c r="B138" s="40" t="s">
        <v>1172</v>
      </c>
      <c r="C138" s="40" t="s">
        <v>1172</v>
      </c>
      <c r="D138" s="40" t="s">
        <v>879</v>
      </c>
      <c r="E138" s="40" t="s">
        <v>879</v>
      </c>
      <c r="F138" s="40" t="s">
        <v>879</v>
      </c>
      <c r="G138" s="40"/>
      <c r="H138" s="40" t="s">
        <v>891</v>
      </c>
      <c r="I138" s="40"/>
      <c r="J138" s="40"/>
      <c r="K138" s="40">
        <v>1.0</v>
      </c>
      <c r="L138" s="40" t="s">
        <v>892</v>
      </c>
      <c r="M138" s="40"/>
    </row>
    <row r="139" ht="15.75" customHeight="1">
      <c r="A139" s="40" t="s">
        <v>1173</v>
      </c>
      <c r="B139" s="40" t="s">
        <v>1174</v>
      </c>
      <c r="C139" s="40" t="s">
        <v>1174</v>
      </c>
      <c r="D139" s="40" t="s">
        <v>879</v>
      </c>
      <c r="E139" s="40" t="s">
        <v>879</v>
      </c>
      <c r="F139" s="40" t="s">
        <v>879</v>
      </c>
      <c r="G139" s="40"/>
      <c r="H139" s="40" t="s">
        <v>891</v>
      </c>
      <c r="I139" s="40"/>
      <c r="J139" s="40"/>
      <c r="K139" s="40">
        <v>1.0</v>
      </c>
      <c r="L139" s="40" t="s">
        <v>897</v>
      </c>
      <c r="M139" s="40"/>
    </row>
    <row r="140" ht="15.75" customHeight="1">
      <c r="A140" s="40" t="s">
        <v>1175</v>
      </c>
      <c r="B140" s="40" t="s">
        <v>1176</v>
      </c>
      <c r="C140" s="40" t="s">
        <v>1176</v>
      </c>
      <c r="D140" s="40" t="s">
        <v>879</v>
      </c>
      <c r="E140" s="40" t="s">
        <v>879</v>
      </c>
      <c r="F140" s="40" t="s">
        <v>879</v>
      </c>
      <c r="G140" s="40"/>
      <c r="H140" s="40" t="s">
        <v>891</v>
      </c>
      <c r="I140" s="40"/>
      <c r="J140" s="40"/>
      <c r="K140" s="40">
        <v>1.0</v>
      </c>
      <c r="L140" s="40" t="s">
        <v>897</v>
      </c>
      <c r="M140" s="40"/>
    </row>
    <row r="141" ht="15.75" customHeight="1">
      <c r="A141" s="40" t="s">
        <v>1177</v>
      </c>
      <c r="B141" s="40" t="s">
        <v>1178</v>
      </c>
      <c r="C141" s="40" t="s">
        <v>1178</v>
      </c>
      <c r="D141" s="40" t="s">
        <v>879</v>
      </c>
      <c r="E141" s="40" t="s">
        <v>879</v>
      </c>
      <c r="F141" s="40" t="s">
        <v>879</v>
      </c>
      <c r="G141" s="40"/>
      <c r="H141" s="40" t="s">
        <v>891</v>
      </c>
      <c r="I141" s="40"/>
      <c r="J141" s="40"/>
      <c r="K141" s="40">
        <v>3.0</v>
      </c>
      <c r="L141" s="40" t="s">
        <v>897</v>
      </c>
      <c r="M141" s="40"/>
    </row>
    <row r="142" ht="15.75" customHeight="1">
      <c r="A142" s="40" t="s">
        <v>1179</v>
      </c>
      <c r="B142" s="40" t="s">
        <v>1180</v>
      </c>
      <c r="C142" s="40" t="s">
        <v>1180</v>
      </c>
      <c r="D142" s="40" t="s">
        <v>879</v>
      </c>
      <c r="E142" s="40" t="s">
        <v>879</v>
      </c>
      <c r="F142" s="40" t="s">
        <v>879</v>
      </c>
      <c r="G142" s="40"/>
      <c r="H142" s="40" t="s">
        <v>891</v>
      </c>
      <c r="I142" s="40"/>
      <c r="J142" s="40"/>
      <c r="K142" s="40">
        <v>1.0</v>
      </c>
      <c r="L142" s="40" t="s">
        <v>897</v>
      </c>
      <c r="M142" s="40"/>
    </row>
    <row r="143" ht="15.75" customHeight="1">
      <c r="A143" s="40" t="s">
        <v>1181</v>
      </c>
      <c r="B143" s="40" t="s">
        <v>1182</v>
      </c>
      <c r="C143" s="40" t="s">
        <v>1182</v>
      </c>
      <c r="D143" s="40" t="s">
        <v>879</v>
      </c>
      <c r="E143" s="40" t="s">
        <v>879</v>
      </c>
      <c r="F143" s="40" t="s">
        <v>879</v>
      </c>
      <c r="G143" s="40"/>
      <c r="H143" s="40" t="s">
        <v>891</v>
      </c>
      <c r="I143" s="40"/>
      <c r="J143" s="40"/>
      <c r="K143" s="40">
        <v>2.0</v>
      </c>
      <c r="L143" s="40" t="s">
        <v>897</v>
      </c>
      <c r="M143" s="40"/>
    </row>
    <row r="144" ht="15.75" customHeight="1">
      <c r="A144" s="40" t="s">
        <v>1183</v>
      </c>
      <c r="B144" s="40" t="s">
        <v>1184</v>
      </c>
      <c r="C144" s="40" t="s">
        <v>1184</v>
      </c>
      <c r="D144" s="40" t="s">
        <v>879</v>
      </c>
      <c r="E144" s="40" t="s">
        <v>879</v>
      </c>
      <c r="F144" s="40" t="s">
        <v>879</v>
      </c>
      <c r="G144" s="40"/>
      <c r="H144" s="40" t="s">
        <v>891</v>
      </c>
      <c r="I144" s="40"/>
      <c r="J144" s="40"/>
      <c r="K144" s="40">
        <v>1.0</v>
      </c>
      <c r="L144" s="40" t="s">
        <v>897</v>
      </c>
      <c r="M144" s="40"/>
    </row>
    <row r="145" ht="15.75" customHeight="1">
      <c r="A145" s="40" t="s">
        <v>1185</v>
      </c>
      <c r="B145" s="40" t="s">
        <v>1186</v>
      </c>
      <c r="C145" s="40" t="s">
        <v>1186</v>
      </c>
      <c r="D145" s="40" t="s">
        <v>879</v>
      </c>
      <c r="E145" s="40" t="s">
        <v>879</v>
      </c>
      <c r="F145" s="40" t="s">
        <v>879</v>
      </c>
      <c r="G145" s="40"/>
      <c r="H145" s="40" t="s">
        <v>891</v>
      </c>
      <c r="I145" s="40"/>
      <c r="J145" s="40"/>
      <c r="K145" s="40">
        <v>3.0</v>
      </c>
      <c r="L145" s="40" t="s">
        <v>897</v>
      </c>
      <c r="M145" s="40"/>
    </row>
    <row r="146" ht="15.75" customHeight="1">
      <c r="A146" s="40" t="s">
        <v>1187</v>
      </c>
      <c r="B146" s="40" t="s">
        <v>1188</v>
      </c>
      <c r="C146" s="40" t="s">
        <v>1188</v>
      </c>
      <c r="D146" s="40" t="s">
        <v>879</v>
      </c>
      <c r="E146" s="40" t="s">
        <v>879</v>
      </c>
      <c r="F146" s="40" t="s">
        <v>879</v>
      </c>
      <c r="G146" s="40"/>
      <c r="H146" s="40" t="s">
        <v>891</v>
      </c>
      <c r="I146" s="40"/>
      <c r="J146" s="40"/>
      <c r="K146" s="40">
        <v>1.0</v>
      </c>
      <c r="L146" s="40" t="s">
        <v>892</v>
      </c>
      <c r="M146" s="40"/>
    </row>
    <row r="147" ht="15.75" customHeight="1">
      <c r="A147" s="40" t="s">
        <v>1189</v>
      </c>
      <c r="B147" s="40" t="s">
        <v>1190</v>
      </c>
      <c r="C147" s="40" t="s">
        <v>1190</v>
      </c>
      <c r="D147" s="40" t="s">
        <v>879</v>
      </c>
      <c r="E147" s="40" t="s">
        <v>879</v>
      </c>
      <c r="F147" s="40" t="s">
        <v>879</v>
      </c>
      <c r="G147" s="40"/>
      <c r="H147" s="40" t="s">
        <v>891</v>
      </c>
      <c r="I147" s="40"/>
      <c r="J147" s="40"/>
      <c r="K147" s="40">
        <v>1.0</v>
      </c>
      <c r="L147" s="40" t="s">
        <v>897</v>
      </c>
      <c r="M147" s="40"/>
    </row>
    <row r="148" ht="15.75" customHeight="1">
      <c r="A148" s="40" t="s">
        <v>1191</v>
      </c>
      <c r="B148" s="40" t="s">
        <v>1192</v>
      </c>
      <c r="C148" s="40" t="s">
        <v>1192</v>
      </c>
      <c r="D148" s="40" t="s">
        <v>879</v>
      </c>
      <c r="E148" s="40" t="s">
        <v>879</v>
      </c>
      <c r="F148" s="40" t="s">
        <v>879</v>
      </c>
      <c r="G148" s="40"/>
      <c r="H148" s="40" t="s">
        <v>891</v>
      </c>
      <c r="I148" s="40"/>
      <c r="J148" s="40"/>
      <c r="K148" s="40">
        <v>1.0</v>
      </c>
      <c r="L148" s="40" t="s">
        <v>897</v>
      </c>
      <c r="M148" s="40"/>
    </row>
    <row r="149" ht="15.75" customHeight="1">
      <c r="A149" s="40" t="s">
        <v>1193</v>
      </c>
      <c r="B149" s="40" t="s">
        <v>1194</v>
      </c>
      <c r="C149" s="40" t="s">
        <v>1194</v>
      </c>
      <c r="D149" s="40" t="s">
        <v>879</v>
      </c>
      <c r="E149" s="40" t="s">
        <v>879</v>
      </c>
      <c r="F149" s="40" t="s">
        <v>879</v>
      </c>
      <c r="G149" s="40"/>
      <c r="H149" s="40" t="s">
        <v>891</v>
      </c>
      <c r="I149" s="40"/>
      <c r="J149" s="40"/>
      <c r="K149" s="40">
        <v>3.0</v>
      </c>
      <c r="L149" s="40" t="s">
        <v>892</v>
      </c>
      <c r="M149" s="40"/>
    </row>
    <row r="150" ht="15.75" customHeight="1">
      <c r="A150" s="40" t="s">
        <v>1195</v>
      </c>
      <c r="B150" s="40" t="s">
        <v>1196</v>
      </c>
      <c r="C150" s="40" t="s">
        <v>1196</v>
      </c>
      <c r="D150" s="40" t="s">
        <v>879</v>
      </c>
      <c r="E150" s="40" t="s">
        <v>879</v>
      </c>
      <c r="F150" s="40" t="s">
        <v>879</v>
      </c>
      <c r="G150" s="40"/>
      <c r="H150" s="40" t="s">
        <v>891</v>
      </c>
      <c r="I150" s="40"/>
      <c r="J150" s="40"/>
      <c r="K150" s="40">
        <v>3.0</v>
      </c>
      <c r="L150" s="40" t="s">
        <v>897</v>
      </c>
      <c r="M150" s="40"/>
    </row>
    <row r="151" ht="15.75" customHeight="1">
      <c r="A151" s="40" t="s">
        <v>1197</v>
      </c>
      <c r="B151" s="40" t="s">
        <v>1198</v>
      </c>
      <c r="C151" s="40" t="s">
        <v>1198</v>
      </c>
      <c r="D151" s="40" t="s">
        <v>879</v>
      </c>
      <c r="E151" s="40" t="s">
        <v>879</v>
      </c>
      <c r="F151" s="40" t="s">
        <v>879</v>
      </c>
      <c r="G151" s="40"/>
      <c r="H151" s="40" t="s">
        <v>891</v>
      </c>
      <c r="I151" s="40"/>
      <c r="J151" s="40"/>
      <c r="K151" s="40">
        <v>2.0</v>
      </c>
      <c r="L151" s="40" t="s">
        <v>897</v>
      </c>
      <c r="M151" s="40"/>
    </row>
    <row r="152" ht="15.75" customHeight="1">
      <c r="A152" s="40" t="s">
        <v>1199</v>
      </c>
      <c r="B152" s="40" t="s">
        <v>1200</v>
      </c>
      <c r="C152" s="40" t="s">
        <v>1200</v>
      </c>
      <c r="D152" s="40" t="s">
        <v>879</v>
      </c>
      <c r="E152" s="40" t="s">
        <v>879</v>
      </c>
      <c r="F152" s="40" t="s">
        <v>879</v>
      </c>
      <c r="G152" s="40"/>
      <c r="H152" s="40" t="s">
        <v>891</v>
      </c>
      <c r="I152" s="40"/>
      <c r="J152" s="40"/>
      <c r="K152" s="40">
        <v>1.0</v>
      </c>
      <c r="L152" s="40" t="s">
        <v>1201</v>
      </c>
      <c r="M152" s="40"/>
    </row>
    <row r="153" ht="15.75" customHeight="1">
      <c r="A153" s="40" t="s">
        <v>1202</v>
      </c>
      <c r="B153" s="40" t="s">
        <v>1203</v>
      </c>
      <c r="C153" s="40" t="s">
        <v>1203</v>
      </c>
      <c r="D153" s="40" t="s">
        <v>879</v>
      </c>
      <c r="E153" s="40" t="s">
        <v>879</v>
      </c>
      <c r="F153" s="40" t="s">
        <v>879</v>
      </c>
      <c r="G153" s="40"/>
      <c r="H153" s="40" t="s">
        <v>891</v>
      </c>
      <c r="I153" s="40"/>
      <c r="J153" s="40"/>
      <c r="K153" s="40">
        <v>2.0</v>
      </c>
      <c r="L153" s="40" t="s">
        <v>892</v>
      </c>
      <c r="M153" s="40"/>
    </row>
    <row r="154" ht="15.75" customHeight="1">
      <c r="A154" s="40" t="s">
        <v>1204</v>
      </c>
      <c r="B154" s="40" t="s">
        <v>1205</v>
      </c>
      <c r="C154" s="40" t="s">
        <v>1205</v>
      </c>
      <c r="D154" s="40" t="s">
        <v>879</v>
      </c>
      <c r="E154" s="40" t="s">
        <v>879</v>
      </c>
      <c r="F154" s="40" t="s">
        <v>879</v>
      </c>
      <c r="G154" s="40"/>
      <c r="H154" s="40" t="s">
        <v>891</v>
      </c>
      <c r="I154" s="40"/>
      <c r="J154" s="40"/>
      <c r="K154" s="40">
        <v>1.0</v>
      </c>
      <c r="L154" s="40" t="s">
        <v>897</v>
      </c>
      <c r="M154" s="40"/>
    </row>
    <row r="155" ht="15.75" customHeight="1">
      <c r="A155" s="40" t="s">
        <v>1206</v>
      </c>
      <c r="B155" s="40" t="s">
        <v>1207</v>
      </c>
      <c r="C155" s="40" t="s">
        <v>1207</v>
      </c>
      <c r="D155" s="40" t="s">
        <v>879</v>
      </c>
      <c r="E155" s="40" t="s">
        <v>879</v>
      </c>
      <c r="F155" s="40" t="s">
        <v>879</v>
      </c>
      <c r="G155" s="40"/>
      <c r="H155" s="40" t="s">
        <v>891</v>
      </c>
      <c r="I155" s="40"/>
      <c r="J155" s="40"/>
      <c r="K155" s="40">
        <v>1.0</v>
      </c>
      <c r="L155" s="40" t="s">
        <v>897</v>
      </c>
      <c r="M155" s="40"/>
    </row>
    <row r="156" ht="15.75" customHeight="1">
      <c r="A156" s="40" t="s">
        <v>1208</v>
      </c>
      <c r="B156" s="40" t="s">
        <v>1209</v>
      </c>
      <c r="C156" s="40" t="s">
        <v>1209</v>
      </c>
      <c r="D156" s="40" t="s">
        <v>879</v>
      </c>
      <c r="E156" s="40" t="s">
        <v>879</v>
      </c>
      <c r="F156" s="40" t="s">
        <v>879</v>
      </c>
      <c r="G156" s="40"/>
      <c r="H156" s="40" t="s">
        <v>891</v>
      </c>
      <c r="I156" s="40"/>
      <c r="J156" s="40"/>
      <c r="K156" s="40">
        <v>1.0</v>
      </c>
      <c r="L156" s="40" t="s">
        <v>897</v>
      </c>
      <c r="M156" s="40"/>
    </row>
    <row r="157" ht="15.75" customHeight="1">
      <c r="A157" s="40" t="s">
        <v>1210</v>
      </c>
      <c r="B157" s="40" t="s">
        <v>1211</v>
      </c>
      <c r="C157" s="40" t="s">
        <v>1211</v>
      </c>
      <c r="D157" s="40" t="s">
        <v>879</v>
      </c>
      <c r="E157" s="40" t="s">
        <v>879</v>
      </c>
      <c r="F157" s="40" t="s">
        <v>879</v>
      </c>
      <c r="G157" s="40"/>
      <c r="H157" s="40" t="s">
        <v>891</v>
      </c>
      <c r="I157" s="40"/>
      <c r="J157" s="40"/>
      <c r="K157" s="40">
        <v>1.0</v>
      </c>
      <c r="L157" s="40" t="s">
        <v>968</v>
      </c>
      <c r="M157" s="40"/>
    </row>
    <row r="158" ht="15.75" customHeight="1">
      <c r="A158" s="40" t="s">
        <v>1212</v>
      </c>
      <c r="B158" s="40" t="s">
        <v>1213</v>
      </c>
      <c r="C158" s="40" t="s">
        <v>1213</v>
      </c>
      <c r="D158" s="40" t="s">
        <v>879</v>
      </c>
      <c r="E158" s="40" t="s">
        <v>879</v>
      </c>
      <c r="F158" s="40" t="s">
        <v>879</v>
      </c>
      <c r="G158" s="40"/>
      <c r="H158" s="40" t="s">
        <v>891</v>
      </c>
      <c r="I158" s="40"/>
      <c r="J158" s="40"/>
      <c r="K158" s="40">
        <v>1.0</v>
      </c>
      <c r="L158" s="40" t="s">
        <v>892</v>
      </c>
      <c r="M158" s="40"/>
    </row>
    <row r="159" ht="15.75" customHeight="1">
      <c r="A159" s="40" t="s">
        <v>1214</v>
      </c>
      <c r="B159" s="40" t="s">
        <v>1215</v>
      </c>
      <c r="C159" s="40" t="s">
        <v>1215</v>
      </c>
      <c r="D159" s="40" t="s">
        <v>879</v>
      </c>
      <c r="E159" s="40" t="s">
        <v>879</v>
      </c>
      <c r="F159" s="40" t="s">
        <v>879</v>
      </c>
      <c r="G159" s="40"/>
      <c r="H159" s="40" t="s">
        <v>891</v>
      </c>
      <c r="I159" s="40"/>
      <c r="J159" s="40"/>
      <c r="K159" s="40">
        <v>1.0</v>
      </c>
      <c r="L159" s="40" t="s">
        <v>897</v>
      </c>
      <c r="M159" s="40"/>
    </row>
    <row r="160" ht="15.75" customHeight="1">
      <c r="A160" s="40" t="s">
        <v>1216</v>
      </c>
      <c r="B160" s="40" t="s">
        <v>1217</v>
      </c>
      <c r="C160" s="40" t="s">
        <v>1217</v>
      </c>
      <c r="D160" s="40" t="s">
        <v>879</v>
      </c>
      <c r="E160" s="40" t="s">
        <v>879</v>
      </c>
      <c r="F160" s="40" t="s">
        <v>879</v>
      </c>
      <c r="G160" s="40"/>
      <c r="H160" s="40" t="s">
        <v>891</v>
      </c>
      <c r="I160" s="40"/>
      <c r="J160" s="40"/>
      <c r="K160" s="40">
        <v>1.0</v>
      </c>
      <c r="L160" s="40" t="s">
        <v>897</v>
      </c>
      <c r="M160" s="40"/>
    </row>
    <row r="161" ht="15.75" customHeight="1">
      <c r="A161" s="40" t="s">
        <v>1218</v>
      </c>
      <c r="B161" s="40" t="s">
        <v>1219</v>
      </c>
      <c r="C161" s="40" t="s">
        <v>1219</v>
      </c>
      <c r="D161" s="40" t="s">
        <v>879</v>
      </c>
      <c r="E161" s="40" t="s">
        <v>879</v>
      </c>
      <c r="F161" s="40" t="s">
        <v>1026</v>
      </c>
      <c r="G161" s="40"/>
      <c r="H161" s="40" t="s">
        <v>891</v>
      </c>
      <c r="I161" s="40"/>
      <c r="J161" s="40"/>
      <c r="K161" s="40">
        <v>1.0</v>
      </c>
      <c r="L161" s="40" t="s">
        <v>892</v>
      </c>
      <c r="M161" s="40"/>
    </row>
    <row r="162" ht="15.75" customHeight="1">
      <c r="A162" s="40" t="s">
        <v>1220</v>
      </c>
      <c r="B162" s="40" t="s">
        <v>1221</v>
      </c>
      <c r="C162" s="40" t="s">
        <v>1221</v>
      </c>
      <c r="D162" s="40" t="s">
        <v>879</v>
      </c>
      <c r="E162" s="40" t="s">
        <v>879</v>
      </c>
      <c r="F162" s="40" t="s">
        <v>879</v>
      </c>
      <c r="G162" s="40"/>
      <c r="H162" s="40" t="s">
        <v>891</v>
      </c>
      <c r="I162" s="40"/>
      <c r="J162" s="40"/>
      <c r="K162" s="40">
        <v>1.0</v>
      </c>
      <c r="L162" s="40" t="s">
        <v>897</v>
      </c>
      <c r="M162" s="40"/>
    </row>
    <row r="163" ht="15.75" customHeight="1">
      <c r="A163" s="40" t="s">
        <v>1222</v>
      </c>
      <c r="B163" s="40" t="s">
        <v>1223</v>
      </c>
      <c r="C163" s="40" t="s">
        <v>1223</v>
      </c>
      <c r="D163" s="40" t="s">
        <v>879</v>
      </c>
      <c r="E163" s="40" t="s">
        <v>879</v>
      </c>
      <c r="F163" s="40" t="s">
        <v>879</v>
      </c>
      <c r="G163" s="40"/>
      <c r="H163" s="40" t="s">
        <v>891</v>
      </c>
      <c r="I163" s="40"/>
      <c r="J163" s="40"/>
      <c r="K163" s="40">
        <v>1.0</v>
      </c>
      <c r="L163" s="40" t="s">
        <v>897</v>
      </c>
      <c r="M163" s="40"/>
    </row>
    <row r="164" ht="15.75" customHeight="1">
      <c r="A164" s="40" t="s">
        <v>1224</v>
      </c>
      <c r="B164" s="40" t="s">
        <v>1225</v>
      </c>
      <c r="C164" s="40" t="s">
        <v>1225</v>
      </c>
      <c r="D164" s="40" t="s">
        <v>879</v>
      </c>
      <c r="E164" s="40" t="s">
        <v>879</v>
      </c>
      <c r="F164" s="40" t="s">
        <v>904</v>
      </c>
      <c r="G164" s="40"/>
      <c r="H164" s="40" t="s">
        <v>891</v>
      </c>
      <c r="I164" s="40"/>
      <c r="J164" s="40"/>
      <c r="K164" s="40">
        <v>1.0</v>
      </c>
      <c r="L164" s="40" t="s">
        <v>892</v>
      </c>
      <c r="M164" s="40"/>
    </row>
    <row r="165" ht="15.75" customHeight="1">
      <c r="A165" s="40" t="s">
        <v>1226</v>
      </c>
      <c r="B165" s="40" t="s">
        <v>1227</v>
      </c>
      <c r="C165" s="40" t="s">
        <v>1227</v>
      </c>
      <c r="D165" s="40" t="s">
        <v>879</v>
      </c>
      <c r="E165" s="40" t="s">
        <v>879</v>
      </c>
      <c r="F165" s="40" t="s">
        <v>1228</v>
      </c>
      <c r="G165" s="40"/>
      <c r="H165" s="40" t="s">
        <v>891</v>
      </c>
      <c r="I165" s="40"/>
      <c r="J165" s="40"/>
      <c r="K165" s="40">
        <v>1.0</v>
      </c>
      <c r="L165" s="40" t="s">
        <v>897</v>
      </c>
      <c r="M165" s="40"/>
    </row>
    <row r="166" ht="15.75" customHeight="1">
      <c r="A166" s="40" t="s">
        <v>1229</v>
      </c>
      <c r="B166" s="40" t="s">
        <v>1230</v>
      </c>
      <c r="C166" s="40" t="s">
        <v>1230</v>
      </c>
      <c r="D166" s="40" t="s">
        <v>879</v>
      </c>
      <c r="E166" s="40" t="s">
        <v>879</v>
      </c>
      <c r="F166" s="40" t="s">
        <v>879</v>
      </c>
      <c r="G166" s="40"/>
      <c r="H166" s="40" t="s">
        <v>891</v>
      </c>
      <c r="I166" s="40"/>
      <c r="J166" s="40"/>
      <c r="K166" s="40">
        <v>1.0</v>
      </c>
      <c r="L166" s="40" t="s">
        <v>892</v>
      </c>
      <c r="M166" s="40"/>
    </row>
    <row r="167" ht="15.75" customHeight="1">
      <c r="A167" s="40" t="s">
        <v>1231</v>
      </c>
      <c r="B167" s="40" t="s">
        <v>1232</v>
      </c>
      <c r="C167" s="40" t="s">
        <v>1232</v>
      </c>
      <c r="D167" s="40" t="s">
        <v>879</v>
      </c>
      <c r="E167" s="40" t="s">
        <v>879</v>
      </c>
      <c r="F167" s="40" t="s">
        <v>904</v>
      </c>
      <c r="G167" s="40"/>
      <c r="H167" s="40" t="s">
        <v>891</v>
      </c>
      <c r="I167" s="40"/>
      <c r="J167" s="40"/>
      <c r="K167" s="40">
        <v>4.0</v>
      </c>
      <c r="L167" s="40" t="s">
        <v>897</v>
      </c>
      <c r="M167" s="40"/>
    </row>
    <row r="168" ht="15.75" customHeight="1">
      <c r="A168" s="40" t="s">
        <v>1233</v>
      </c>
      <c r="B168" s="40" t="s">
        <v>1234</v>
      </c>
      <c r="C168" s="40" t="s">
        <v>1234</v>
      </c>
      <c r="D168" s="40" t="s">
        <v>879</v>
      </c>
      <c r="E168" s="40" t="s">
        <v>879</v>
      </c>
      <c r="F168" s="40" t="s">
        <v>879</v>
      </c>
      <c r="G168" s="40"/>
      <c r="H168" s="40" t="s">
        <v>891</v>
      </c>
      <c r="I168" s="40"/>
      <c r="J168" s="40"/>
      <c r="K168" s="40">
        <v>1.0</v>
      </c>
      <c r="L168" s="40" t="s">
        <v>897</v>
      </c>
      <c r="M168" s="40"/>
    </row>
    <row r="169" ht="15.75" customHeight="1">
      <c r="A169" s="40" t="s">
        <v>1235</v>
      </c>
      <c r="B169" s="40" t="s">
        <v>1236</v>
      </c>
      <c r="C169" s="40" t="s">
        <v>1236</v>
      </c>
      <c r="D169" s="40" t="s">
        <v>879</v>
      </c>
      <c r="E169" s="40" t="s">
        <v>879</v>
      </c>
      <c r="F169" s="40" t="s">
        <v>904</v>
      </c>
      <c r="G169" s="40"/>
      <c r="H169" s="40" t="s">
        <v>891</v>
      </c>
      <c r="I169" s="40"/>
      <c r="J169" s="40"/>
      <c r="K169" s="40">
        <v>1.0</v>
      </c>
      <c r="L169" s="40" t="s">
        <v>897</v>
      </c>
      <c r="M169" s="40"/>
    </row>
    <row r="170" ht="15.75" customHeight="1">
      <c r="A170" s="40" t="s">
        <v>1237</v>
      </c>
      <c r="B170" s="40" t="s">
        <v>1238</v>
      </c>
      <c r="C170" s="40" t="s">
        <v>1238</v>
      </c>
      <c r="D170" s="40" t="s">
        <v>879</v>
      </c>
      <c r="E170" s="40" t="s">
        <v>879</v>
      </c>
      <c r="F170" s="40" t="s">
        <v>1239</v>
      </c>
      <c r="G170" s="40"/>
      <c r="H170" s="40" t="s">
        <v>891</v>
      </c>
      <c r="I170" s="40"/>
      <c r="J170" s="40"/>
      <c r="K170" s="40">
        <v>1.0</v>
      </c>
      <c r="L170" s="40" t="s">
        <v>892</v>
      </c>
      <c r="M170" s="40"/>
    </row>
    <row r="171" ht="15.75" customHeight="1">
      <c r="A171" s="40" t="s">
        <v>1240</v>
      </c>
      <c r="B171" s="40" t="s">
        <v>1241</v>
      </c>
      <c r="C171" s="40" t="s">
        <v>1241</v>
      </c>
      <c r="D171" s="40" t="s">
        <v>879</v>
      </c>
      <c r="E171" s="40" t="s">
        <v>879</v>
      </c>
      <c r="F171" s="40" t="s">
        <v>1242</v>
      </c>
      <c r="G171" s="40"/>
      <c r="H171" s="40" t="s">
        <v>891</v>
      </c>
      <c r="I171" s="40"/>
      <c r="J171" s="40"/>
      <c r="K171" s="40">
        <v>13.0</v>
      </c>
      <c r="L171" s="40" t="s">
        <v>897</v>
      </c>
      <c r="M171" s="40"/>
    </row>
    <row r="172" ht="15.75" customHeight="1">
      <c r="A172" s="40" t="s">
        <v>1243</v>
      </c>
      <c r="B172" s="40" t="s">
        <v>1244</v>
      </c>
      <c r="C172" s="40" t="s">
        <v>1244</v>
      </c>
      <c r="D172" s="40" t="s">
        <v>879</v>
      </c>
      <c r="E172" s="40" t="s">
        <v>879</v>
      </c>
      <c r="F172" s="40" t="s">
        <v>1245</v>
      </c>
      <c r="G172" s="40"/>
      <c r="H172" s="40" t="s">
        <v>891</v>
      </c>
      <c r="I172" s="40"/>
      <c r="J172" s="40"/>
      <c r="K172" s="40">
        <v>1.0</v>
      </c>
      <c r="L172" s="40" t="s">
        <v>897</v>
      </c>
      <c r="M172" s="40"/>
    </row>
    <row r="173" ht="15.75" customHeight="1">
      <c r="A173" s="40" t="s">
        <v>1246</v>
      </c>
      <c r="B173" s="40" t="s">
        <v>1247</v>
      </c>
      <c r="C173" s="40" t="s">
        <v>1247</v>
      </c>
      <c r="D173" s="40" t="s">
        <v>879</v>
      </c>
      <c r="E173" s="40" t="s">
        <v>879</v>
      </c>
      <c r="F173" s="40" t="s">
        <v>1248</v>
      </c>
      <c r="G173" s="40"/>
      <c r="H173" s="40" t="s">
        <v>891</v>
      </c>
      <c r="I173" s="40"/>
      <c r="J173" s="40"/>
      <c r="K173" s="40">
        <v>1.0</v>
      </c>
      <c r="L173" s="40" t="s">
        <v>897</v>
      </c>
      <c r="M173" s="40"/>
    </row>
    <row r="174" ht="15.75" customHeight="1">
      <c r="A174" s="40" t="s">
        <v>1249</v>
      </c>
      <c r="B174" s="40" t="s">
        <v>1250</v>
      </c>
      <c r="C174" s="40" t="s">
        <v>1250</v>
      </c>
      <c r="D174" s="40" t="s">
        <v>879</v>
      </c>
      <c r="E174" s="40" t="s">
        <v>879</v>
      </c>
      <c r="F174" s="40" t="s">
        <v>1251</v>
      </c>
      <c r="G174" s="40"/>
      <c r="H174" s="40" t="s">
        <v>891</v>
      </c>
      <c r="I174" s="40"/>
      <c r="J174" s="40"/>
      <c r="K174" s="40">
        <v>1.0</v>
      </c>
      <c r="L174" s="40" t="s">
        <v>897</v>
      </c>
      <c r="M174" s="40"/>
    </row>
    <row r="175" ht="15.75" customHeight="1">
      <c r="A175" s="40" t="s">
        <v>1252</v>
      </c>
      <c r="B175" s="40" t="s">
        <v>1253</v>
      </c>
      <c r="C175" s="40" t="s">
        <v>1253</v>
      </c>
      <c r="D175" s="40" t="s">
        <v>879</v>
      </c>
      <c r="E175" s="40" t="s">
        <v>879</v>
      </c>
      <c r="F175" s="40" t="s">
        <v>879</v>
      </c>
      <c r="G175" s="40"/>
      <c r="H175" s="40" t="s">
        <v>891</v>
      </c>
      <c r="I175" s="40"/>
      <c r="J175" s="40"/>
      <c r="K175" s="40">
        <v>1.0</v>
      </c>
      <c r="L175" s="40" t="s">
        <v>892</v>
      </c>
      <c r="M175" s="40"/>
    </row>
    <row r="176" ht="15.75" customHeight="1">
      <c r="A176" s="40" t="s">
        <v>1254</v>
      </c>
      <c r="B176" s="40" t="s">
        <v>1255</v>
      </c>
      <c r="C176" s="40" t="s">
        <v>1255</v>
      </c>
      <c r="D176" s="40" t="s">
        <v>879</v>
      </c>
      <c r="E176" s="40" t="s">
        <v>879</v>
      </c>
      <c r="F176" s="40" t="s">
        <v>1256</v>
      </c>
      <c r="G176" s="40"/>
      <c r="H176" s="40" t="s">
        <v>891</v>
      </c>
      <c r="I176" s="40"/>
      <c r="J176" s="40"/>
      <c r="K176" s="40">
        <v>1.0</v>
      </c>
      <c r="L176" s="40" t="s">
        <v>897</v>
      </c>
      <c r="M176" s="40"/>
    </row>
    <row r="177" ht="15.75" customHeight="1">
      <c r="A177" s="40" t="s">
        <v>1257</v>
      </c>
      <c r="B177" s="40" t="s">
        <v>1258</v>
      </c>
      <c r="C177" s="40" t="s">
        <v>1258</v>
      </c>
      <c r="D177" s="40" t="s">
        <v>879</v>
      </c>
      <c r="E177" s="40" t="s">
        <v>879</v>
      </c>
      <c r="F177" s="40" t="s">
        <v>879</v>
      </c>
      <c r="G177" s="40"/>
      <c r="H177" s="40" t="s">
        <v>891</v>
      </c>
      <c r="I177" s="40"/>
      <c r="J177" s="40"/>
      <c r="K177" s="40">
        <v>1.0</v>
      </c>
      <c r="L177" s="40" t="s">
        <v>1259</v>
      </c>
      <c r="M177" s="40"/>
    </row>
    <row r="178" ht="15.75" customHeight="1">
      <c r="A178" s="40" t="s">
        <v>1260</v>
      </c>
      <c r="B178" s="40" t="s">
        <v>1261</v>
      </c>
      <c r="C178" s="40" t="s">
        <v>1261</v>
      </c>
      <c r="D178" s="40" t="s">
        <v>879</v>
      </c>
      <c r="E178" s="40" t="s">
        <v>879</v>
      </c>
      <c r="F178" s="40" t="s">
        <v>879</v>
      </c>
      <c r="G178" s="40"/>
      <c r="H178" s="40" t="s">
        <v>891</v>
      </c>
      <c r="I178" s="40"/>
      <c r="J178" s="40"/>
      <c r="K178" s="40">
        <v>1.0</v>
      </c>
      <c r="L178" s="40" t="s">
        <v>1259</v>
      </c>
      <c r="M178" s="40"/>
    </row>
    <row r="179" ht="15.75" customHeight="1">
      <c r="A179" s="40" t="s">
        <v>1262</v>
      </c>
      <c r="B179" s="40" t="s">
        <v>1263</v>
      </c>
      <c r="C179" s="40" t="s">
        <v>1263</v>
      </c>
      <c r="D179" s="40" t="s">
        <v>879</v>
      </c>
      <c r="E179" s="40" t="s">
        <v>879</v>
      </c>
      <c r="F179" s="40" t="s">
        <v>879</v>
      </c>
      <c r="G179" s="40"/>
      <c r="H179" s="40" t="s">
        <v>891</v>
      </c>
      <c r="I179" s="40"/>
      <c r="J179" s="40"/>
      <c r="K179" s="40">
        <v>1.0</v>
      </c>
      <c r="L179" s="40" t="s">
        <v>897</v>
      </c>
      <c r="M179" s="40"/>
    </row>
    <row r="180" ht="15.75" customHeight="1">
      <c r="A180" s="40" t="s">
        <v>1264</v>
      </c>
      <c r="B180" s="40" t="s">
        <v>1265</v>
      </c>
      <c r="C180" s="40" t="s">
        <v>1265</v>
      </c>
      <c r="D180" s="40" t="s">
        <v>879</v>
      </c>
      <c r="E180" s="40" t="s">
        <v>879</v>
      </c>
      <c r="F180" s="40" t="s">
        <v>879</v>
      </c>
      <c r="G180" s="40"/>
      <c r="H180" s="40" t="s">
        <v>891</v>
      </c>
      <c r="I180" s="40"/>
      <c r="J180" s="40"/>
      <c r="K180" s="40">
        <v>1.0</v>
      </c>
      <c r="L180" s="40" t="s">
        <v>961</v>
      </c>
      <c r="M180" s="40"/>
    </row>
    <row r="181" ht="15.75" customHeight="1">
      <c r="A181" s="40" t="s">
        <v>1266</v>
      </c>
      <c r="B181" s="40" t="s">
        <v>1267</v>
      </c>
      <c r="C181" s="40" t="s">
        <v>1267</v>
      </c>
      <c r="D181" s="40" t="s">
        <v>879</v>
      </c>
      <c r="E181" s="40" t="s">
        <v>879</v>
      </c>
      <c r="F181" s="40" t="s">
        <v>879</v>
      </c>
      <c r="G181" s="40"/>
      <c r="H181" s="40" t="s">
        <v>891</v>
      </c>
      <c r="I181" s="40"/>
      <c r="J181" s="40"/>
      <c r="K181" s="40">
        <v>1.0</v>
      </c>
      <c r="L181" s="40" t="s">
        <v>897</v>
      </c>
      <c r="M181" s="40"/>
    </row>
    <row r="182" ht="15.75" customHeight="1">
      <c r="A182" s="40" t="s">
        <v>1268</v>
      </c>
      <c r="B182" s="40" t="s">
        <v>1269</v>
      </c>
      <c r="C182" s="40" t="s">
        <v>1269</v>
      </c>
      <c r="D182" s="40" t="s">
        <v>879</v>
      </c>
      <c r="E182" s="40" t="s">
        <v>879</v>
      </c>
      <c r="F182" s="40" t="s">
        <v>879</v>
      </c>
      <c r="G182" s="40"/>
      <c r="H182" s="40" t="s">
        <v>891</v>
      </c>
      <c r="I182" s="40"/>
      <c r="J182" s="40"/>
      <c r="K182" s="40">
        <v>1.0</v>
      </c>
      <c r="L182" s="40" t="s">
        <v>897</v>
      </c>
      <c r="M182" s="40"/>
    </row>
    <row r="183" ht="15.75" customHeight="1">
      <c r="A183" s="40" t="s">
        <v>1270</v>
      </c>
      <c r="B183" s="40" t="s">
        <v>1271</v>
      </c>
      <c r="C183" s="40" t="s">
        <v>1271</v>
      </c>
      <c r="D183" s="40" t="s">
        <v>879</v>
      </c>
      <c r="E183" s="40" t="s">
        <v>879</v>
      </c>
      <c r="F183" s="40" t="s">
        <v>879</v>
      </c>
      <c r="G183" s="40"/>
      <c r="H183" s="40" t="s">
        <v>891</v>
      </c>
      <c r="I183" s="40"/>
      <c r="J183" s="40"/>
      <c r="K183" s="40">
        <v>1.0</v>
      </c>
      <c r="L183" s="40" t="s">
        <v>897</v>
      </c>
      <c r="M183" s="40"/>
    </row>
    <row r="184" ht="15.75" customHeight="1">
      <c r="A184" s="40" t="s">
        <v>1272</v>
      </c>
      <c r="B184" s="40" t="s">
        <v>1273</v>
      </c>
      <c r="C184" s="40" t="s">
        <v>1273</v>
      </c>
      <c r="D184" s="40" t="s">
        <v>879</v>
      </c>
      <c r="E184" s="40" t="s">
        <v>879</v>
      </c>
      <c r="F184" s="40" t="s">
        <v>879</v>
      </c>
      <c r="G184" s="40"/>
      <c r="H184" s="40" t="s">
        <v>891</v>
      </c>
      <c r="I184" s="40"/>
      <c r="J184" s="40"/>
      <c r="K184" s="40">
        <v>1.0</v>
      </c>
      <c r="L184" s="40" t="s">
        <v>892</v>
      </c>
      <c r="M184" s="40"/>
    </row>
    <row r="185" ht="15.75" customHeight="1">
      <c r="A185" s="40" t="s">
        <v>1274</v>
      </c>
      <c r="B185" s="40" t="s">
        <v>1275</v>
      </c>
      <c r="C185" s="40" t="s">
        <v>1275</v>
      </c>
      <c r="D185" s="40" t="s">
        <v>879</v>
      </c>
      <c r="E185" s="40" t="s">
        <v>879</v>
      </c>
      <c r="F185" s="40" t="s">
        <v>879</v>
      </c>
      <c r="G185" s="40"/>
      <c r="H185" s="40" t="s">
        <v>891</v>
      </c>
      <c r="I185" s="40"/>
      <c r="J185" s="40"/>
      <c r="K185" s="40">
        <v>2.0</v>
      </c>
      <c r="L185" s="40" t="s">
        <v>897</v>
      </c>
      <c r="M185" s="40"/>
    </row>
    <row r="186" ht="15.75" customHeight="1">
      <c r="A186" s="40" t="s">
        <v>1276</v>
      </c>
      <c r="B186" s="40" t="s">
        <v>1277</v>
      </c>
      <c r="C186" s="40" t="s">
        <v>1277</v>
      </c>
      <c r="D186" s="40" t="s">
        <v>879</v>
      </c>
      <c r="E186" s="40" t="s">
        <v>879</v>
      </c>
      <c r="F186" s="40" t="s">
        <v>904</v>
      </c>
      <c r="G186" s="40"/>
      <c r="H186" s="40" t="s">
        <v>891</v>
      </c>
      <c r="I186" s="40"/>
      <c r="J186" s="40"/>
      <c r="K186" s="40">
        <v>8.0</v>
      </c>
      <c r="L186" s="40" t="s">
        <v>897</v>
      </c>
      <c r="M186" s="40"/>
    </row>
    <row r="187" ht="15.75" customHeight="1">
      <c r="A187" s="40" t="s">
        <v>1278</v>
      </c>
      <c r="B187" s="40" t="s">
        <v>1279</v>
      </c>
      <c r="C187" s="40" t="s">
        <v>1279</v>
      </c>
      <c r="D187" s="40" t="s">
        <v>879</v>
      </c>
      <c r="E187" s="40" t="s">
        <v>879</v>
      </c>
      <c r="F187" s="40" t="s">
        <v>904</v>
      </c>
      <c r="G187" s="40"/>
      <c r="H187" s="40" t="s">
        <v>891</v>
      </c>
      <c r="I187" s="40"/>
      <c r="J187" s="40"/>
      <c r="K187" s="40">
        <v>2.0</v>
      </c>
      <c r="L187" s="40" t="s">
        <v>897</v>
      </c>
      <c r="M187" s="40"/>
    </row>
    <row r="188" ht="15.75" customHeight="1">
      <c r="A188" s="40" t="s">
        <v>1280</v>
      </c>
      <c r="B188" s="40" t="s">
        <v>1281</v>
      </c>
      <c r="C188" s="40" t="s">
        <v>1281</v>
      </c>
      <c r="D188" s="40" t="s">
        <v>879</v>
      </c>
      <c r="E188" s="40" t="s">
        <v>879</v>
      </c>
      <c r="F188" s="40" t="s">
        <v>879</v>
      </c>
      <c r="G188" s="40"/>
      <c r="H188" s="40" t="s">
        <v>891</v>
      </c>
      <c r="I188" s="40"/>
      <c r="J188" s="40"/>
      <c r="K188" s="40">
        <v>1.0</v>
      </c>
      <c r="L188" s="40" t="s">
        <v>897</v>
      </c>
      <c r="M188" s="40"/>
    </row>
    <row r="189" ht="15.75" customHeight="1">
      <c r="A189" s="40" t="s">
        <v>1282</v>
      </c>
      <c r="B189" s="40" t="s">
        <v>1283</v>
      </c>
      <c r="C189" s="40" t="s">
        <v>1283</v>
      </c>
      <c r="D189" s="40" t="s">
        <v>879</v>
      </c>
      <c r="E189" s="40" t="s">
        <v>879</v>
      </c>
      <c r="F189" s="40" t="s">
        <v>879</v>
      </c>
      <c r="G189" s="40"/>
      <c r="H189" s="40" t="s">
        <v>891</v>
      </c>
      <c r="I189" s="40"/>
      <c r="J189" s="40"/>
      <c r="K189" s="40">
        <v>1.0</v>
      </c>
      <c r="L189" s="40" t="s">
        <v>897</v>
      </c>
      <c r="M189" s="40"/>
    </row>
    <row r="190" ht="15.75" customHeight="1">
      <c r="A190" s="40" t="s">
        <v>1284</v>
      </c>
      <c r="B190" s="40" t="s">
        <v>1285</v>
      </c>
      <c r="C190" s="40" t="s">
        <v>1285</v>
      </c>
      <c r="D190" s="40" t="s">
        <v>879</v>
      </c>
      <c r="E190" s="40" t="s">
        <v>879</v>
      </c>
      <c r="F190" s="40" t="s">
        <v>904</v>
      </c>
      <c r="G190" s="40"/>
      <c r="H190" s="40" t="s">
        <v>891</v>
      </c>
      <c r="I190" s="40"/>
      <c r="J190" s="40"/>
      <c r="K190" s="40">
        <v>1.0</v>
      </c>
      <c r="L190" s="40" t="s">
        <v>897</v>
      </c>
      <c r="M190" s="40"/>
    </row>
    <row r="191" ht="15.75" customHeight="1">
      <c r="A191" s="40" t="s">
        <v>1286</v>
      </c>
      <c r="B191" s="40" t="s">
        <v>1287</v>
      </c>
      <c r="C191" s="40" t="s">
        <v>1287</v>
      </c>
      <c r="D191" s="40" t="s">
        <v>879</v>
      </c>
      <c r="E191" s="40" t="s">
        <v>879</v>
      </c>
      <c r="F191" s="40" t="s">
        <v>879</v>
      </c>
      <c r="G191" s="40"/>
      <c r="H191" s="40" t="s">
        <v>891</v>
      </c>
      <c r="I191" s="40"/>
      <c r="J191" s="40"/>
      <c r="K191" s="40">
        <v>1.0</v>
      </c>
      <c r="L191" s="40" t="s">
        <v>897</v>
      </c>
      <c r="M191" s="40"/>
    </row>
    <row r="192" ht="15.75" customHeight="1">
      <c r="A192" s="40" t="s">
        <v>1288</v>
      </c>
      <c r="B192" s="40" t="s">
        <v>1289</v>
      </c>
      <c r="C192" s="40" t="s">
        <v>1289</v>
      </c>
      <c r="D192" s="40" t="s">
        <v>879</v>
      </c>
      <c r="E192" s="40" t="s">
        <v>879</v>
      </c>
      <c r="F192" s="40" t="s">
        <v>879</v>
      </c>
      <c r="G192" s="40"/>
      <c r="H192" s="40" t="s">
        <v>891</v>
      </c>
      <c r="I192" s="40"/>
      <c r="J192" s="40"/>
      <c r="K192" s="40">
        <v>1.0</v>
      </c>
      <c r="L192" s="40" t="s">
        <v>897</v>
      </c>
      <c r="M192" s="40"/>
    </row>
    <row r="193" ht="15.75" customHeight="1">
      <c r="A193" s="40" t="s">
        <v>1290</v>
      </c>
      <c r="B193" s="40" t="s">
        <v>1291</v>
      </c>
      <c r="C193" s="40" t="s">
        <v>1291</v>
      </c>
      <c r="D193" s="40" t="s">
        <v>879</v>
      </c>
      <c r="E193" s="40" t="s">
        <v>879</v>
      </c>
      <c r="F193" s="40" t="s">
        <v>879</v>
      </c>
      <c r="G193" s="40"/>
      <c r="H193" s="40" t="s">
        <v>891</v>
      </c>
      <c r="I193" s="40"/>
      <c r="J193" s="40"/>
      <c r="K193" s="40">
        <v>1.0</v>
      </c>
      <c r="L193" s="40" t="s">
        <v>897</v>
      </c>
      <c r="M193" s="40"/>
    </row>
    <row r="194" ht="15.75" customHeight="1">
      <c r="A194" s="40" t="s">
        <v>1292</v>
      </c>
      <c r="B194" s="40" t="s">
        <v>1293</v>
      </c>
      <c r="C194" s="40" t="s">
        <v>1293</v>
      </c>
      <c r="D194" s="40" t="s">
        <v>879</v>
      </c>
      <c r="E194" s="40" t="s">
        <v>879</v>
      </c>
      <c r="F194" s="40" t="s">
        <v>904</v>
      </c>
      <c r="G194" s="40"/>
      <c r="H194" s="40" t="s">
        <v>891</v>
      </c>
      <c r="I194" s="40"/>
      <c r="J194" s="40"/>
      <c r="K194" s="40">
        <v>1.0</v>
      </c>
      <c r="L194" s="40" t="s">
        <v>897</v>
      </c>
      <c r="M194" s="40"/>
    </row>
    <row r="195" ht="15.75" customHeight="1">
      <c r="A195" s="40" t="s">
        <v>1294</v>
      </c>
      <c r="B195" s="40" t="s">
        <v>1295</v>
      </c>
      <c r="C195" s="40" t="s">
        <v>1295</v>
      </c>
      <c r="D195" s="40" t="s">
        <v>879</v>
      </c>
      <c r="E195" s="40" t="s">
        <v>879</v>
      </c>
      <c r="F195" s="40" t="s">
        <v>904</v>
      </c>
      <c r="G195" s="40"/>
      <c r="H195" s="40" t="s">
        <v>891</v>
      </c>
      <c r="I195" s="40"/>
      <c r="J195" s="40"/>
      <c r="K195" s="40">
        <v>1.0</v>
      </c>
      <c r="L195" s="40" t="s">
        <v>897</v>
      </c>
      <c r="M195" s="40"/>
    </row>
    <row r="196" ht="15.75" customHeight="1">
      <c r="A196" s="40" t="s">
        <v>1296</v>
      </c>
      <c r="B196" s="40" t="s">
        <v>1297</v>
      </c>
      <c r="C196" s="40" t="s">
        <v>1297</v>
      </c>
      <c r="D196" s="40" t="s">
        <v>879</v>
      </c>
      <c r="E196" s="40" t="s">
        <v>879</v>
      </c>
      <c r="F196" s="40" t="s">
        <v>879</v>
      </c>
      <c r="G196" s="40"/>
      <c r="H196" s="40" t="s">
        <v>891</v>
      </c>
      <c r="I196" s="40"/>
      <c r="J196" s="40"/>
      <c r="K196" s="40">
        <v>1.0</v>
      </c>
      <c r="L196" s="40" t="s">
        <v>892</v>
      </c>
      <c r="M196" s="40"/>
    </row>
    <row r="197" ht="15.75" customHeight="1">
      <c r="A197" s="40" t="s">
        <v>1298</v>
      </c>
      <c r="B197" s="40" t="s">
        <v>1299</v>
      </c>
      <c r="C197" s="40" t="s">
        <v>1300</v>
      </c>
      <c r="D197" s="40" t="s">
        <v>879</v>
      </c>
      <c r="E197" s="40" t="s">
        <v>879</v>
      </c>
      <c r="F197" s="40" t="s">
        <v>1301</v>
      </c>
      <c r="G197" s="40"/>
      <c r="H197" s="40" t="s">
        <v>891</v>
      </c>
      <c r="I197" s="40"/>
      <c r="J197" s="40"/>
      <c r="K197" s="40">
        <v>8.0</v>
      </c>
      <c r="L197" s="40" t="s">
        <v>1302</v>
      </c>
      <c r="M197" s="40"/>
    </row>
    <row r="198" ht="15.75" customHeight="1">
      <c r="A198" s="40" t="s">
        <v>1303</v>
      </c>
      <c r="B198" s="40" t="s">
        <v>1304</v>
      </c>
      <c r="C198" s="40" t="s">
        <v>1305</v>
      </c>
      <c r="D198" s="40" t="s">
        <v>879</v>
      </c>
      <c r="E198" s="40" t="s">
        <v>879</v>
      </c>
      <c r="F198" s="40" t="s">
        <v>1306</v>
      </c>
      <c r="G198" s="40"/>
      <c r="H198" s="40" t="s">
        <v>891</v>
      </c>
      <c r="I198" s="40"/>
      <c r="J198" s="40"/>
      <c r="K198" s="40">
        <v>2.0</v>
      </c>
      <c r="L198" s="40" t="s">
        <v>1117</v>
      </c>
      <c r="M198" s="40"/>
    </row>
    <row r="199" ht="15.75" customHeight="1">
      <c r="A199" s="40" t="s">
        <v>1307</v>
      </c>
      <c r="B199" s="40" t="s">
        <v>1308</v>
      </c>
      <c r="C199" s="40" t="s">
        <v>1308</v>
      </c>
      <c r="D199" s="40" t="s">
        <v>879</v>
      </c>
      <c r="E199" s="40" t="s">
        <v>879</v>
      </c>
      <c r="F199" s="40" t="s">
        <v>879</v>
      </c>
      <c r="G199" s="40"/>
      <c r="H199" s="40" t="s">
        <v>891</v>
      </c>
      <c r="I199" s="40"/>
      <c r="J199" s="40"/>
      <c r="K199" s="40">
        <v>1.0</v>
      </c>
      <c r="L199" s="40" t="s">
        <v>1309</v>
      </c>
      <c r="M199" s="40"/>
    </row>
    <row r="200" ht="15.75" customHeight="1">
      <c r="A200" s="40" t="s">
        <v>1310</v>
      </c>
      <c r="B200" s="40" t="s">
        <v>1311</v>
      </c>
      <c r="C200" s="40" t="s">
        <v>1312</v>
      </c>
      <c r="D200" s="40" t="s">
        <v>879</v>
      </c>
      <c r="E200" s="40" t="s">
        <v>879</v>
      </c>
      <c r="F200" s="40" t="s">
        <v>1313</v>
      </c>
      <c r="G200" s="40"/>
      <c r="H200" s="40" t="s">
        <v>891</v>
      </c>
      <c r="I200" s="40"/>
      <c r="J200" s="40"/>
      <c r="K200" s="40">
        <v>8.0</v>
      </c>
      <c r="L200" s="40" t="s">
        <v>1117</v>
      </c>
      <c r="M200" s="40"/>
    </row>
    <row r="201" ht="15.75" customHeight="1">
      <c r="A201" s="40" t="s">
        <v>1314</v>
      </c>
      <c r="B201" s="40" t="s">
        <v>1315</v>
      </c>
      <c r="C201" s="40" t="s">
        <v>1316</v>
      </c>
      <c r="D201" s="40" t="s">
        <v>879</v>
      </c>
      <c r="E201" s="40" t="s">
        <v>879</v>
      </c>
      <c r="F201" s="40" t="s">
        <v>1317</v>
      </c>
      <c r="G201" s="40"/>
      <c r="H201" s="40" t="s">
        <v>891</v>
      </c>
      <c r="I201" s="40"/>
      <c r="J201" s="40"/>
      <c r="K201" s="40">
        <v>4.0</v>
      </c>
      <c r="L201" s="40" t="s">
        <v>1117</v>
      </c>
      <c r="M201" s="40"/>
    </row>
    <row r="202" ht="15.75" customHeight="1">
      <c r="A202" s="40" t="s">
        <v>1318</v>
      </c>
      <c r="B202" s="40" t="s">
        <v>1319</v>
      </c>
      <c r="C202" s="40" t="s">
        <v>1320</v>
      </c>
      <c r="D202" s="40" t="s">
        <v>879</v>
      </c>
      <c r="E202" s="40" t="s">
        <v>879</v>
      </c>
      <c r="F202" s="40" t="s">
        <v>1317</v>
      </c>
      <c r="G202" s="40"/>
      <c r="H202" s="40" t="s">
        <v>891</v>
      </c>
      <c r="I202" s="40"/>
      <c r="J202" s="40"/>
      <c r="K202" s="40">
        <v>2.0</v>
      </c>
      <c r="L202" s="40" t="s">
        <v>1117</v>
      </c>
      <c r="M202" s="40"/>
    </row>
    <row r="203" ht="15.75" customHeight="1">
      <c r="A203" s="40" t="s">
        <v>1321</v>
      </c>
      <c r="B203" s="40" t="s">
        <v>1322</v>
      </c>
      <c r="C203" s="40" t="s">
        <v>1322</v>
      </c>
      <c r="D203" s="40" t="s">
        <v>879</v>
      </c>
      <c r="E203" s="40" t="s">
        <v>879</v>
      </c>
      <c r="F203" s="40" t="s">
        <v>879</v>
      </c>
      <c r="G203" s="40"/>
      <c r="H203" s="40" t="s">
        <v>891</v>
      </c>
      <c r="I203" s="40"/>
      <c r="J203" s="40"/>
      <c r="K203" s="40">
        <v>2.0</v>
      </c>
      <c r="L203" s="40" t="s">
        <v>922</v>
      </c>
      <c r="M203" s="40"/>
    </row>
    <row r="204" ht="15.75" customHeight="1">
      <c r="A204" s="40" t="s">
        <v>1323</v>
      </c>
      <c r="B204" s="40" t="s">
        <v>1324</v>
      </c>
      <c r="C204" s="40" t="s">
        <v>1324</v>
      </c>
      <c r="D204" s="40" t="s">
        <v>879</v>
      </c>
      <c r="E204" s="40" t="s">
        <v>879</v>
      </c>
      <c r="F204" s="40" t="s">
        <v>879</v>
      </c>
      <c r="G204" s="40"/>
      <c r="H204" s="40" t="s">
        <v>891</v>
      </c>
      <c r="I204" s="40"/>
      <c r="J204" s="40"/>
      <c r="K204" s="40">
        <v>2.0</v>
      </c>
      <c r="L204" s="40" t="s">
        <v>892</v>
      </c>
      <c r="M204" s="40"/>
    </row>
    <row r="205" ht="15.75" customHeight="1">
      <c r="A205" s="40" t="s">
        <v>1325</v>
      </c>
      <c r="B205" s="40" t="s">
        <v>1326</v>
      </c>
      <c r="C205" s="40" t="s">
        <v>1326</v>
      </c>
      <c r="D205" s="40" t="s">
        <v>879</v>
      </c>
      <c r="E205" s="40" t="s">
        <v>879</v>
      </c>
      <c r="F205" s="40" t="s">
        <v>879</v>
      </c>
      <c r="G205" s="40"/>
      <c r="H205" s="40" t="s">
        <v>891</v>
      </c>
      <c r="I205" s="40"/>
      <c r="J205" s="40"/>
      <c r="K205" s="40">
        <v>1.0</v>
      </c>
      <c r="L205" s="40" t="s">
        <v>922</v>
      </c>
      <c r="M205" s="40"/>
    </row>
    <row r="206" ht="15.75" customHeight="1">
      <c r="A206" s="40" t="s">
        <v>1327</v>
      </c>
      <c r="B206" s="40" t="s">
        <v>1328</v>
      </c>
      <c r="C206" s="40" t="s">
        <v>1329</v>
      </c>
      <c r="D206" s="40" t="s">
        <v>879</v>
      </c>
      <c r="E206" s="40" t="s">
        <v>879</v>
      </c>
      <c r="F206" s="40" t="s">
        <v>1330</v>
      </c>
      <c r="G206" s="40"/>
      <c r="H206" s="40" t="s">
        <v>891</v>
      </c>
      <c r="I206" s="40"/>
      <c r="J206" s="40"/>
      <c r="K206" s="40">
        <v>7.0</v>
      </c>
      <c r="L206" s="40" t="s">
        <v>1117</v>
      </c>
      <c r="M206" s="40"/>
    </row>
    <row r="207" ht="15.75" customHeight="1">
      <c r="A207" s="40" t="s">
        <v>1331</v>
      </c>
      <c r="B207" s="40" t="s">
        <v>1332</v>
      </c>
      <c r="C207" s="40" t="s">
        <v>1332</v>
      </c>
      <c r="D207" s="40" t="s">
        <v>879</v>
      </c>
      <c r="E207" s="40" t="s">
        <v>879</v>
      </c>
      <c r="F207" s="40" t="s">
        <v>879</v>
      </c>
      <c r="G207" s="40"/>
      <c r="H207" s="40" t="s">
        <v>891</v>
      </c>
      <c r="I207" s="40"/>
      <c r="J207" s="40"/>
      <c r="K207" s="40">
        <v>2.0</v>
      </c>
      <c r="L207" s="40" t="s">
        <v>897</v>
      </c>
      <c r="M207" s="40"/>
    </row>
    <row r="208" ht="15.75" customHeight="1">
      <c r="A208" s="40" t="s">
        <v>1333</v>
      </c>
      <c r="B208" s="40" t="s">
        <v>1334</v>
      </c>
      <c r="C208" s="40" t="s">
        <v>1334</v>
      </c>
      <c r="D208" s="40" t="s">
        <v>879</v>
      </c>
      <c r="E208" s="40" t="s">
        <v>879</v>
      </c>
      <c r="F208" s="40" t="s">
        <v>879</v>
      </c>
      <c r="G208" s="40"/>
      <c r="H208" s="40" t="s">
        <v>891</v>
      </c>
      <c r="I208" s="40"/>
      <c r="J208" s="40"/>
      <c r="K208" s="40">
        <v>1.0</v>
      </c>
      <c r="L208" s="40" t="s">
        <v>922</v>
      </c>
      <c r="M208" s="40"/>
    </row>
    <row r="209" ht="15.75" customHeight="1">
      <c r="A209" s="40" t="s">
        <v>1335</v>
      </c>
      <c r="B209" s="40" t="s">
        <v>1336</v>
      </c>
      <c r="C209" s="40" t="s">
        <v>1336</v>
      </c>
      <c r="D209" s="40" t="s">
        <v>879</v>
      </c>
      <c r="E209" s="40" t="s">
        <v>879</v>
      </c>
      <c r="F209" s="40" t="s">
        <v>879</v>
      </c>
      <c r="G209" s="40"/>
      <c r="H209" s="40" t="s">
        <v>891</v>
      </c>
      <c r="I209" s="40"/>
      <c r="J209" s="40"/>
      <c r="K209" s="40">
        <v>1.0</v>
      </c>
      <c r="L209" s="40" t="s">
        <v>892</v>
      </c>
      <c r="M209" s="40"/>
    </row>
    <row r="210" ht="15.75" customHeight="1">
      <c r="A210" s="40" t="s">
        <v>1337</v>
      </c>
      <c r="B210" s="40" t="s">
        <v>1338</v>
      </c>
      <c r="C210" s="40" t="s">
        <v>1339</v>
      </c>
      <c r="D210" s="40" t="s">
        <v>879</v>
      </c>
      <c r="E210" s="40" t="s">
        <v>879</v>
      </c>
      <c r="F210" s="40" t="s">
        <v>1317</v>
      </c>
      <c r="G210" s="40"/>
      <c r="H210" s="40" t="s">
        <v>891</v>
      </c>
      <c r="I210" s="40"/>
      <c r="J210" s="40"/>
      <c r="K210" s="40">
        <v>8.0</v>
      </c>
      <c r="L210" s="40" t="s">
        <v>1117</v>
      </c>
      <c r="M210" s="40"/>
    </row>
    <row r="211" ht="15.75" customHeight="1">
      <c r="A211" s="40" t="s">
        <v>1340</v>
      </c>
      <c r="B211" s="40" t="s">
        <v>1341</v>
      </c>
      <c r="C211" s="40" t="s">
        <v>1342</v>
      </c>
      <c r="D211" s="40" t="s">
        <v>879</v>
      </c>
      <c r="E211" s="40" t="s">
        <v>879</v>
      </c>
      <c r="F211" s="40" t="s">
        <v>1317</v>
      </c>
      <c r="G211" s="40"/>
      <c r="H211" s="40" t="s">
        <v>891</v>
      </c>
      <c r="I211" s="40"/>
      <c r="J211" s="40"/>
      <c r="K211" s="40">
        <v>4.0</v>
      </c>
      <c r="L211" s="40" t="s">
        <v>1117</v>
      </c>
      <c r="M211" s="40"/>
    </row>
    <row r="212" ht="15.75" customHeight="1">
      <c r="A212" s="40" t="s">
        <v>1343</v>
      </c>
      <c r="B212" s="40" t="s">
        <v>1344</v>
      </c>
      <c r="C212" s="40" t="s">
        <v>1344</v>
      </c>
      <c r="D212" s="40" t="s">
        <v>879</v>
      </c>
      <c r="E212" s="40" t="s">
        <v>879</v>
      </c>
      <c r="F212" s="40" t="s">
        <v>879</v>
      </c>
      <c r="G212" s="40"/>
      <c r="H212" s="40" t="s">
        <v>891</v>
      </c>
      <c r="I212" s="40"/>
      <c r="J212" s="40"/>
      <c r="K212" s="40">
        <v>3.0</v>
      </c>
      <c r="L212" s="40" t="s">
        <v>968</v>
      </c>
      <c r="M212" s="40"/>
    </row>
    <row r="213" ht="15.75" customHeight="1">
      <c r="A213" s="40" t="s">
        <v>1345</v>
      </c>
      <c r="B213" s="40" t="s">
        <v>1346</v>
      </c>
      <c r="C213" s="40" t="s">
        <v>1346</v>
      </c>
      <c r="D213" s="40" t="s">
        <v>879</v>
      </c>
      <c r="E213" s="40" t="s">
        <v>879</v>
      </c>
      <c r="F213" s="40" t="s">
        <v>879</v>
      </c>
      <c r="G213" s="40"/>
      <c r="H213" s="40" t="s">
        <v>891</v>
      </c>
      <c r="I213" s="40"/>
      <c r="J213" s="40"/>
      <c r="K213" s="40">
        <v>1.0</v>
      </c>
      <c r="L213" s="40" t="s">
        <v>968</v>
      </c>
      <c r="M213" s="40"/>
    </row>
    <row r="214" ht="15.75" customHeight="1">
      <c r="A214" s="40" t="s">
        <v>1347</v>
      </c>
      <c r="B214" s="40" t="s">
        <v>1348</v>
      </c>
      <c r="C214" s="40" t="s">
        <v>1348</v>
      </c>
      <c r="D214" s="40" t="s">
        <v>879</v>
      </c>
      <c r="E214" s="40" t="s">
        <v>879</v>
      </c>
      <c r="F214" s="40" t="s">
        <v>879</v>
      </c>
      <c r="G214" s="40"/>
      <c r="H214" s="40" t="s">
        <v>891</v>
      </c>
      <c r="I214" s="40"/>
      <c r="J214" s="40"/>
      <c r="K214" s="40">
        <v>3.0</v>
      </c>
      <c r="L214" s="40" t="s">
        <v>922</v>
      </c>
      <c r="M214" s="40"/>
    </row>
    <row r="215" ht="15.75" customHeight="1">
      <c r="A215" s="40" t="s">
        <v>1349</v>
      </c>
      <c r="B215" s="40" t="s">
        <v>1350</v>
      </c>
      <c r="C215" s="40" t="s">
        <v>1351</v>
      </c>
      <c r="D215" s="40" t="s">
        <v>879</v>
      </c>
      <c r="E215" s="40" t="s">
        <v>879</v>
      </c>
      <c r="F215" s="40" t="s">
        <v>1317</v>
      </c>
      <c r="G215" s="40"/>
      <c r="H215" s="40" t="s">
        <v>891</v>
      </c>
      <c r="I215" s="40"/>
      <c r="J215" s="40"/>
      <c r="K215" s="40">
        <v>3.0</v>
      </c>
      <c r="L215" s="40" t="s">
        <v>1117</v>
      </c>
      <c r="M215" s="40"/>
    </row>
    <row r="216" ht="15.75" customHeight="1">
      <c r="A216" s="40" t="s">
        <v>1352</v>
      </c>
      <c r="B216" s="40" t="s">
        <v>1353</v>
      </c>
      <c r="C216" s="40" t="s">
        <v>1354</v>
      </c>
      <c r="D216" s="40" t="s">
        <v>879</v>
      </c>
      <c r="E216" s="40" t="s">
        <v>879</v>
      </c>
      <c r="F216" s="40" t="s">
        <v>1355</v>
      </c>
      <c r="G216" s="40"/>
      <c r="H216" s="40" t="s">
        <v>891</v>
      </c>
      <c r="I216" s="40"/>
      <c r="J216" s="40"/>
      <c r="K216" s="40">
        <v>13.0</v>
      </c>
      <c r="L216" s="40" t="s">
        <v>1117</v>
      </c>
      <c r="M216" s="40"/>
    </row>
    <row r="217" ht="15.75" customHeight="1">
      <c r="A217" s="40" t="s">
        <v>1356</v>
      </c>
      <c r="B217" s="40" t="s">
        <v>1357</v>
      </c>
      <c r="C217" s="40" t="s">
        <v>1358</v>
      </c>
      <c r="D217" s="40" t="s">
        <v>879</v>
      </c>
      <c r="E217" s="40" t="s">
        <v>879</v>
      </c>
      <c r="F217" s="40" t="s">
        <v>1359</v>
      </c>
      <c r="G217" s="40"/>
      <c r="H217" s="40" t="s">
        <v>891</v>
      </c>
      <c r="I217" s="40"/>
      <c r="J217" s="40"/>
      <c r="K217" s="40">
        <v>8.0</v>
      </c>
      <c r="L217" s="40" t="s">
        <v>1117</v>
      </c>
      <c r="M217" s="40"/>
    </row>
    <row r="218" ht="15.75" customHeight="1">
      <c r="A218" s="40" t="s">
        <v>1360</v>
      </c>
      <c r="B218" s="40" t="s">
        <v>1361</v>
      </c>
      <c r="C218" s="40" t="s">
        <v>1361</v>
      </c>
      <c r="D218" s="40" t="s">
        <v>879</v>
      </c>
      <c r="E218" s="40" t="s">
        <v>879</v>
      </c>
      <c r="F218" s="40" t="s">
        <v>879</v>
      </c>
      <c r="G218" s="40"/>
      <c r="H218" s="40" t="s">
        <v>891</v>
      </c>
      <c r="I218" s="40"/>
      <c r="J218" s="40"/>
      <c r="K218" s="40">
        <v>1.0</v>
      </c>
      <c r="L218" s="40" t="s">
        <v>1362</v>
      </c>
      <c r="M218" s="40"/>
    </row>
    <row r="219" ht="15.75" customHeight="1">
      <c r="A219" s="40" t="s">
        <v>1363</v>
      </c>
      <c r="B219" s="40" t="s">
        <v>1328</v>
      </c>
      <c r="C219" s="40" t="s">
        <v>1364</v>
      </c>
      <c r="D219" s="40" t="s">
        <v>879</v>
      </c>
      <c r="E219" s="40" t="s">
        <v>879</v>
      </c>
      <c r="F219" s="40" t="s">
        <v>1330</v>
      </c>
      <c r="G219" s="40"/>
      <c r="H219" s="40" t="s">
        <v>891</v>
      </c>
      <c r="I219" s="40"/>
      <c r="J219" s="40"/>
      <c r="K219" s="40">
        <v>8.0</v>
      </c>
      <c r="L219" s="40" t="s">
        <v>1117</v>
      </c>
      <c r="M219" s="40"/>
    </row>
    <row r="220" ht="15.75" customHeight="1">
      <c r="A220" s="40" t="s">
        <v>1365</v>
      </c>
      <c r="B220" s="40" t="s">
        <v>1366</v>
      </c>
      <c r="C220" s="40" t="s">
        <v>1367</v>
      </c>
      <c r="D220" s="40" t="s">
        <v>879</v>
      </c>
      <c r="E220" s="40" t="s">
        <v>879</v>
      </c>
      <c r="F220" s="40" t="s">
        <v>1313</v>
      </c>
      <c r="G220" s="40"/>
      <c r="H220" s="40" t="s">
        <v>891</v>
      </c>
      <c r="I220" s="40"/>
      <c r="J220" s="40"/>
      <c r="K220" s="40">
        <v>3.0</v>
      </c>
      <c r="L220" s="40" t="s">
        <v>1117</v>
      </c>
      <c r="M220" s="40"/>
    </row>
    <row r="221" ht="15.75" customHeight="1">
      <c r="A221" s="40" t="s">
        <v>1368</v>
      </c>
      <c r="B221" s="40" t="s">
        <v>1369</v>
      </c>
      <c r="C221" s="40" t="s">
        <v>1369</v>
      </c>
      <c r="D221" s="40" t="s">
        <v>879</v>
      </c>
      <c r="E221" s="40" t="s">
        <v>879</v>
      </c>
      <c r="F221" s="40" t="s">
        <v>879</v>
      </c>
      <c r="G221" s="40"/>
      <c r="H221" s="40" t="s">
        <v>891</v>
      </c>
      <c r="I221" s="40"/>
      <c r="J221" s="40"/>
      <c r="K221" s="40">
        <v>1.0</v>
      </c>
      <c r="L221" s="40" t="s">
        <v>897</v>
      </c>
      <c r="M221" s="40"/>
    </row>
    <row r="222" ht="15.75" customHeight="1">
      <c r="A222" s="40" t="s">
        <v>1370</v>
      </c>
      <c r="B222" s="40" t="s">
        <v>1371</v>
      </c>
      <c r="C222" s="40" t="s">
        <v>1372</v>
      </c>
      <c r="D222" s="40" t="s">
        <v>879</v>
      </c>
      <c r="E222" s="40" t="s">
        <v>879</v>
      </c>
      <c r="F222" s="40" t="s">
        <v>1317</v>
      </c>
      <c r="G222" s="40"/>
      <c r="H222" s="40" t="s">
        <v>891</v>
      </c>
      <c r="I222" s="40"/>
      <c r="J222" s="40"/>
      <c r="K222" s="40">
        <v>4.0</v>
      </c>
      <c r="L222" s="40" t="s">
        <v>1117</v>
      </c>
      <c r="M222" s="40"/>
    </row>
    <row r="223" ht="15.75" customHeight="1">
      <c r="A223" s="40" t="s">
        <v>1373</v>
      </c>
      <c r="B223" s="40" t="s">
        <v>1374</v>
      </c>
      <c r="C223" s="40" t="s">
        <v>1374</v>
      </c>
      <c r="D223" s="40" t="s">
        <v>879</v>
      </c>
      <c r="E223" s="40" t="s">
        <v>879</v>
      </c>
      <c r="F223" s="40" t="s">
        <v>879</v>
      </c>
      <c r="G223" s="40"/>
      <c r="H223" s="40" t="s">
        <v>891</v>
      </c>
      <c r="I223" s="40"/>
      <c r="J223" s="40"/>
      <c r="K223" s="40">
        <v>1.0</v>
      </c>
      <c r="L223" s="40" t="s">
        <v>922</v>
      </c>
      <c r="M223" s="40"/>
    </row>
    <row r="224" ht="15.75" customHeight="1">
      <c r="A224" s="40" t="s">
        <v>1375</v>
      </c>
      <c r="B224" s="40" t="s">
        <v>1376</v>
      </c>
      <c r="C224" s="40" t="s">
        <v>1376</v>
      </c>
      <c r="D224" s="40" t="s">
        <v>879</v>
      </c>
      <c r="E224" s="40" t="s">
        <v>879</v>
      </c>
      <c r="F224" s="40" t="s">
        <v>879</v>
      </c>
      <c r="G224" s="40"/>
      <c r="H224" s="40" t="s">
        <v>891</v>
      </c>
      <c r="I224" s="40"/>
      <c r="J224" s="40"/>
      <c r="K224" s="40">
        <v>1.0</v>
      </c>
      <c r="L224" s="40" t="s">
        <v>892</v>
      </c>
      <c r="M224" s="40"/>
    </row>
    <row r="225" ht="15.75" customHeight="1">
      <c r="A225" s="40" t="s">
        <v>1377</v>
      </c>
      <c r="B225" s="40" t="s">
        <v>1378</v>
      </c>
      <c r="C225" s="40" t="s">
        <v>1378</v>
      </c>
      <c r="D225" s="40" t="s">
        <v>879</v>
      </c>
      <c r="E225" s="40" t="s">
        <v>879</v>
      </c>
      <c r="F225" s="40" t="s">
        <v>904</v>
      </c>
      <c r="G225" s="40"/>
      <c r="H225" s="40" t="s">
        <v>891</v>
      </c>
      <c r="I225" s="40"/>
      <c r="J225" s="40"/>
      <c r="K225" s="40">
        <v>1.0</v>
      </c>
      <c r="L225" s="40" t="s">
        <v>897</v>
      </c>
      <c r="M225" s="40"/>
    </row>
    <row r="226" ht="15.75" customHeight="1">
      <c r="A226" s="40" t="s">
        <v>1379</v>
      </c>
      <c r="B226" s="40" t="s">
        <v>1380</v>
      </c>
      <c r="C226" s="40" t="s">
        <v>1380</v>
      </c>
      <c r="D226" s="40" t="s">
        <v>879</v>
      </c>
      <c r="E226" s="40" t="s">
        <v>879</v>
      </c>
      <c r="F226" s="40" t="s">
        <v>904</v>
      </c>
      <c r="G226" s="40"/>
      <c r="H226" s="40" t="s">
        <v>891</v>
      </c>
      <c r="I226" s="40"/>
      <c r="J226" s="40"/>
      <c r="K226" s="40">
        <v>1.0</v>
      </c>
      <c r="L226" s="40" t="s">
        <v>897</v>
      </c>
      <c r="M226" s="40"/>
    </row>
    <row r="227" ht="15.75" customHeight="1">
      <c r="A227" s="40" t="s">
        <v>1381</v>
      </c>
      <c r="B227" s="40" t="s">
        <v>1382</v>
      </c>
      <c r="C227" s="40" t="s">
        <v>1382</v>
      </c>
      <c r="D227" s="40" t="s">
        <v>879</v>
      </c>
      <c r="E227" s="40" t="s">
        <v>879</v>
      </c>
      <c r="F227" s="40" t="s">
        <v>904</v>
      </c>
      <c r="G227" s="40"/>
      <c r="H227" s="40" t="s">
        <v>891</v>
      </c>
      <c r="I227" s="40"/>
      <c r="J227" s="40"/>
      <c r="K227" s="40">
        <v>1.0</v>
      </c>
      <c r="L227" s="40" t="s">
        <v>968</v>
      </c>
      <c r="M227" s="40"/>
    </row>
    <row r="228" ht="15.75" customHeight="1">
      <c r="A228" s="40" t="s">
        <v>1383</v>
      </c>
      <c r="B228" s="40" t="s">
        <v>1384</v>
      </c>
      <c r="C228" s="40" t="s">
        <v>1384</v>
      </c>
      <c r="D228" s="40" t="s">
        <v>879</v>
      </c>
      <c r="E228" s="40" t="s">
        <v>879</v>
      </c>
      <c r="F228" s="40" t="s">
        <v>879</v>
      </c>
      <c r="G228" s="40"/>
      <c r="H228" s="40" t="s">
        <v>891</v>
      </c>
      <c r="I228" s="40"/>
      <c r="J228" s="40"/>
      <c r="K228" s="40">
        <v>1.0</v>
      </c>
      <c r="L228" s="40" t="s">
        <v>892</v>
      </c>
      <c r="M228" s="40"/>
    </row>
    <row r="229" ht="15.75" customHeight="1">
      <c r="A229" s="40" t="s">
        <v>1385</v>
      </c>
      <c r="B229" s="40" t="s">
        <v>1386</v>
      </c>
      <c r="C229" s="40" t="s">
        <v>1386</v>
      </c>
      <c r="D229" s="40" t="s">
        <v>879</v>
      </c>
      <c r="E229" s="40" t="s">
        <v>879</v>
      </c>
      <c r="F229" s="40" t="s">
        <v>879</v>
      </c>
      <c r="G229" s="40"/>
      <c r="H229" s="40" t="s">
        <v>891</v>
      </c>
      <c r="I229" s="40"/>
      <c r="J229" s="40"/>
      <c r="K229" s="40">
        <v>1.0</v>
      </c>
      <c r="L229" s="40" t="s">
        <v>897</v>
      </c>
      <c r="M229" s="40"/>
    </row>
    <row r="230" ht="15.75" customHeight="1">
      <c r="A230" s="40" t="s">
        <v>1387</v>
      </c>
      <c r="B230" s="40" t="s">
        <v>1388</v>
      </c>
      <c r="C230" s="40" t="s">
        <v>1388</v>
      </c>
      <c r="D230" s="40" t="s">
        <v>879</v>
      </c>
      <c r="E230" s="40" t="s">
        <v>879</v>
      </c>
      <c r="F230" s="40" t="s">
        <v>879</v>
      </c>
      <c r="G230" s="40"/>
      <c r="H230" s="40" t="s">
        <v>891</v>
      </c>
      <c r="I230" s="40"/>
      <c r="J230" s="40"/>
      <c r="K230" s="40">
        <v>1.0</v>
      </c>
      <c r="L230" s="40" t="s">
        <v>1389</v>
      </c>
      <c r="M230" s="40"/>
    </row>
    <row r="231" ht="15.75" customHeight="1">
      <c r="A231" s="40" t="s">
        <v>1390</v>
      </c>
      <c r="B231" s="40" t="s">
        <v>1391</v>
      </c>
      <c r="C231" s="40" t="s">
        <v>1391</v>
      </c>
      <c r="D231" s="40" t="s">
        <v>879</v>
      </c>
      <c r="E231" s="40" t="s">
        <v>879</v>
      </c>
      <c r="F231" s="40" t="s">
        <v>879</v>
      </c>
      <c r="G231" s="40"/>
      <c r="H231" s="40" t="s">
        <v>891</v>
      </c>
      <c r="I231" s="40"/>
      <c r="J231" s="40"/>
      <c r="K231" s="40">
        <v>1.0</v>
      </c>
      <c r="L231" s="40" t="s">
        <v>961</v>
      </c>
      <c r="M231" s="40"/>
    </row>
    <row r="232" ht="15.75" customHeight="1">
      <c r="A232" s="40" t="s">
        <v>1392</v>
      </c>
      <c r="B232" s="40" t="s">
        <v>1393</v>
      </c>
      <c r="C232" s="40" t="s">
        <v>1393</v>
      </c>
      <c r="D232" s="40" t="s">
        <v>879</v>
      </c>
      <c r="E232" s="40" t="s">
        <v>879</v>
      </c>
      <c r="F232" s="40" t="s">
        <v>879</v>
      </c>
      <c r="G232" s="40"/>
      <c r="H232" s="40" t="s">
        <v>891</v>
      </c>
      <c r="I232" s="40"/>
      <c r="J232" s="40"/>
      <c r="K232" s="40">
        <v>1.0</v>
      </c>
      <c r="L232" s="40" t="s">
        <v>968</v>
      </c>
      <c r="M232" s="40"/>
    </row>
    <row r="233" ht="15.75" customHeight="1">
      <c r="A233" s="40" t="s">
        <v>1394</v>
      </c>
      <c r="B233" s="40" t="s">
        <v>1395</v>
      </c>
      <c r="C233" s="40" t="s">
        <v>1395</v>
      </c>
      <c r="D233" s="40" t="s">
        <v>879</v>
      </c>
      <c r="E233" s="40" t="s">
        <v>879</v>
      </c>
      <c r="F233" s="40" t="s">
        <v>879</v>
      </c>
      <c r="G233" s="40"/>
      <c r="H233" s="40" t="s">
        <v>891</v>
      </c>
      <c r="I233" s="40"/>
      <c r="J233" s="40"/>
      <c r="K233" s="40">
        <v>1.0</v>
      </c>
      <c r="L233" s="40" t="s">
        <v>922</v>
      </c>
      <c r="M233" s="40"/>
    </row>
    <row r="234" ht="15.75" customHeight="1">
      <c r="A234" s="40" t="s">
        <v>1396</v>
      </c>
      <c r="B234" s="40" t="s">
        <v>1397</v>
      </c>
      <c r="C234" s="40" t="s">
        <v>1397</v>
      </c>
      <c r="D234" s="40" t="s">
        <v>879</v>
      </c>
      <c r="E234" s="40" t="s">
        <v>879</v>
      </c>
      <c r="F234" s="40" t="s">
        <v>879</v>
      </c>
      <c r="G234" s="40"/>
      <c r="H234" s="40" t="s">
        <v>891</v>
      </c>
      <c r="I234" s="40"/>
      <c r="J234" s="40"/>
      <c r="K234" s="40">
        <v>1.0</v>
      </c>
      <c r="L234" s="40" t="s">
        <v>892</v>
      </c>
      <c r="M234" s="40"/>
    </row>
    <row r="235" ht="15.75" customHeight="1">
      <c r="A235" s="40" t="s">
        <v>1398</v>
      </c>
      <c r="B235" s="40" t="s">
        <v>1399</v>
      </c>
      <c r="C235" s="40" t="s">
        <v>1399</v>
      </c>
      <c r="D235" s="40" t="s">
        <v>879</v>
      </c>
      <c r="E235" s="40" t="s">
        <v>879</v>
      </c>
      <c r="F235" s="40" t="s">
        <v>879</v>
      </c>
      <c r="G235" s="40"/>
      <c r="H235" s="40" t="s">
        <v>891</v>
      </c>
      <c r="I235" s="40"/>
      <c r="J235" s="40"/>
      <c r="K235" s="40">
        <v>1.0</v>
      </c>
      <c r="L235" s="40" t="s">
        <v>892</v>
      </c>
      <c r="M235" s="40"/>
    </row>
    <row r="236" ht="15.75" customHeight="1">
      <c r="A236" s="40" t="s">
        <v>1400</v>
      </c>
      <c r="B236" s="40" t="s">
        <v>1401</v>
      </c>
      <c r="C236" s="40" t="s">
        <v>1401</v>
      </c>
      <c r="D236" s="40" t="s">
        <v>879</v>
      </c>
      <c r="E236" s="40" t="s">
        <v>879</v>
      </c>
      <c r="F236" s="40" t="s">
        <v>879</v>
      </c>
      <c r="G236" s="40"/>
      <c r="H236" s="40" t="s">
        <v>891</v>
      </c>
      <c r="I236" s="40"/>
      <c r="J236" s="40"/>
      <c r="K236" s="40">
        <v>1.0</v>
      </c>
      <c r="L236" s="40" t="s">
        <v>1402</v>
      </c>
      <c r="M236" s="40"/>
    </row>
    <row r="237" ht="15.75" customHeight="1">
      <c r="A237" s="40" t="s">
        <v>1403</v>
      </c>
      <c r="B237" s="40" t="s">
        <v>1404</v>
      </c>
      <c r="C237" s="40" t="s">
        <v>1404</v>
      </c>
      <c r="D237" s="40" t="s">
        <v>879</v>
      </c>
      <c r="E237" s="40" t="s">
        <v>879</v>
      </c>
      <c r="F237" s="40" t="s">
        <v>879</v>
      </c>
      <c r="G237" s="40"/>
      <c r="H237" s="40" t="s">
        <v>891</v>
      </c>
      <c r="I237" s="40"/>
      <c r="J237" s="40"/>
      <c r="K237" s="40">
        <v>1.0</v>
      </c>
      <c r="L237" s="40" t="s">
        <v>892</v>
      </c>
      <c r="M237" s="40"/>
    </row>
    <row r="238" ht="15.75" customHeight="1">
      <c r="A238" s="40" t="s">
        <v>1405</v>
      </c>
      <c r="B238" s="40" t="s">
        <v>1406</v>
      </c>
      <c r="C238" s="40" t="s">
        <v>1406</v>
      </c>
      <c r="D238" s="40" t="s">
        <v>879</v>
      </c>
      <c r="E238" s="40" t="s">
        <v>879</v>
      </c>
      <c r="F238" s="40" t="s">
        <v>879</v>
      </c>
      <c r="G238" s="40"/>
      <c r="H238" s="40" t="s">
        <v>891</v>
      </c>
      <c r="I238" s="40"/>
      <c r="J238" s="40"/>
      <c r="K238" s="40">
        <v>1.0</v>
      </c>
      <c r="L238" s="40" t="s">
        <v>892</v>
      </c>
      <c r="M238" s="40"/>
    </row>
    <row r="239" ht="15.75" customHeight="1">
      <c r="A239" s="40" t="s">
        <v>1407</v>
      </c>
      <c r="B239" s="40" t="s">
        <v>1408</v>
      </c>
      <c r="C239" s="40" t="s">
        <v>1408</v>
      </c>
      <c r="D239" s="40" t="s">
        <v>879</v>
      </c>
      <c r="E239" s="40" t="s">
        <v>879</v>
      </c>
      <c r="F239" s="40" t="s">
        <v>879</v>
      </c>
      <c r="G239" s="40"/>
      <c r="H239" s="40" t="s">
        <v>891</v>
      </c>
      <c r="I239" s="40"/>
      <c r="J239" s="40"/>
      <c r="K239" s="40">
        <v>1.0</v>
      </c>
      <c r="L239" s="40" t="s">
        <v>922</v>
      </c>
      <c r="M239" s="40"/>
    </row>
    <row r="240" ht="15.75" customHeight="1">
      <c r="A240" s="40" t="s">
        <v>1409</v>
      </c>
      <c r="B240" s="40" t="s">
        <v>1410</v>
      </c>
      <c r="C240" s="40" t="s">
        <v>1410</v>
      </c>
      <c r="D240" s="40" t="s">
        <v>879</v>
      </c>
      <c r="E240" s="40" t="s">
        <v>879</v>
      </c>
      <c r="F240" s="40" t="s">
        <v>879</v>
      </c>
      <c r="G240" s="40"/>
      <c r="H240" s="40" t="s">
        <v>891</v>
      </c>
      <c r="I240" s="40"/>
      <c r="J240" s="40"/>
      <c r="K240" s="40">
        <v>1.0</v>
      </c>
      <c r="L240" s="40" t="s">
        <v>922</v>
      </c>
      <c r="M240" s="40"/>
    </row>
    <row r="241" ht="15.75" customHeight="1">
      <c r="A241" s="40" t="s">
        <v>1411</v>
      </c>
      <c r="B241" s="40" t="s">
        <v>1412</v>
      </c>
      <c r="C241" s="40" t="s">
        <v>1412</v>
      </c>
      <c r="D241" s="40" t="s">
        <v>879</v>
      </c>
      <c r="E241" s="40" t="s">
        <v>879</v>
      </c>
      <c r="F241" s="40" t="s">
        <v>879</v>
      </c>
      <c r="G241" s="40"/>
      <c r="H241" s="40" t="s">
        <v>891</v>
      </c>
      <c r="I241" s="40"/>
      <c r="J241" s="40"/>
      <c r="K241" s="40">
        <v>1.0</v>
      </c>
      <c r="L241" s="40" t="s">
        <v>922</v>
      </c>
      <c r="M241" s="40"/>
    </row>
    <row r="242" ht="15.75" customHeight="1">
      <c r="A242" s="40" t="s">
        <v>1413</v>
      </c>
      <c r="B242" s="40" t="s">
        <v>1414</v>
      </c>
      <c r="C242" s="40" t="s">
        <v>1414</v>
      </c>
      <c r="D242" s="40" t="s">
        <v>879</v>
      </c>
      <c r="E242" s="40" t="s">
        <v>879</v>
      </c>
      <c r="F242" s="40" t="s">
        <v>879</v>
      </c>
      <c r="G242" s="40"/>
      <c r="H242" s="40" t="s">
        <v>891</v>
      </c>
      <c r="I242" s="40"/>
      <c r="J242" s="40"/>
      <c r="K242" s="40">
        <v>1.0</v>
      </c>
      <c r="L242" s="40" t="s">
        <v>922</v>
      </c>
      <c r="M242" s="40"/>
    </row>
    <row r="243" ht="15.75" customHeight="1">
      <c r="A243" s="40" t="s">
        <v>1415</v>
      </c>
      <c r="B243" s="40" t="s">
        <v>1416</v>
      </c>
      <c r="C243" s="40" t="s">
        <v>1416</v>
      </c>
      <c r="D243" s="40" t="s">
        <v>879</v>
      </c>
      <c r="E243" s="40" t="s">
        <v>879</v>
      </c>
      <c r="F243" s="40" t="s">
        <v>879</v>
      </c>
      <c r="G243" s="40"/>
      <c r="H243" s="40" t="s">
        <v>891</v>
      </c>
      <c r="I243" s="40"/>
      <c r="J243" s="40"/>
      <c r="K243" s="40">
        <v>1.0</v>
      </c>
      <c r="L243" s="40" t="s">
        <v>922</v>
      </c>
      <c r="M243" s="40"/>
    </row>
    <row r="244" ht="15.75" customHeight="1">
      <c r="A244" s="40" t="s">
        <v>1417</v>
      </c>
      <c r="B244" s="40" t="s">
        <v>1418</v>
      </c>
      <c r="C244" s="40" t="s">
        <v>1418</v>
      </c>
      <c r="D244" s="40" t="s">
        <v>879</v>
      </c>
      <c r="E244" s="40" t="s">
        <v>879</v>
      </c>
      <c r="F244" s="40" t="s">
        <v>879</v>
      </c>
      <c r="G244" s="40"/>
      <c r="H244" s="40" t="s">
        <v>891</v>
      </c>
      <c r="I244" s="40"/>
      <c r="J244" s="40"/>
      <c r="K244" s="40">
        <v>1.0</v>
      </c>
      <c r="L244" s="40" t="s">
        <v>922</v>
      </c>
      <c r="M244" s="40"/>
    </row>
    <row r="245" ht="15.75" customHeight="1">
      <c r="A245" s="40" t="s">
        <v>1419</v>
      </c>
      <c r="B245" s="40" t="s">
        <v>1420</v>
      </c>
      <c r="C245" s="40" t="s">
        <v>1421</v>
      </c>
      <c r="D245" s="40" t="s">
        <v>879</v>
      </c>
      <c r="E245" s="40" t="s">
        <v>879</v>
      </c>
      <c r="F245" s="40" t="s">
        <v>1313</v>
      </c>
      <c r="G245" s="40"/>
      <c r="H245" s="40" t="s">
        <v>891</v>
      </c>
      <c r="I245" s="40"/>
      <c r="J245" s="40"/>
      <c r="K245" s="40">
        <v>1.0</v>
      </c>
      <c r="L245" s="40" t="s">
        <v>1117</v>
      </c>
      <c r="M245" s="40"/>
    </row>
    <row r="246" ht="15.75" customHeight="1">
      <c r="A246" s="40" t="s">
        <v>1422</v>
      </c>
      <c r="B246" s="40" t="s">
        <v>1423</v>
      </c>
      <c r="C246" s="40" t="s">
        <v>1424</v>
      </c>
      <c r="D246" s="40" t="s">
        <v>879</v>
      </c>
      <c r="E246" s="40" t="s">
        <v>879</v>
      </c>
      <c r="F246" s="40" t="s">
        <v>1306</v>
      </c>
      <c r="G246" s="40"/>
      <c r="H246" s="40" t="s">
        <v>891</v>
      </c>
      <c r="I246" s="40"/>
      <c r="J246" s="40"/>
      <c r="K246" s="40">
        <v>3.0</v>
      </c>
      <c r="L246" s="40" t="s">
        <v>1117</v>
      </c>
      <c r="M246" s="40"/>
    </row>
    <row r="247" ht="15.75" customHeight="1">
      <c r="A247" s="40" t="s">
        <v>1425</v>
      </c>
      <c r="B247" s="40" t="s">
        <v>1426</v>
      </c>
      <c r="C247" s="40" t="s">
        <v>1426</v>
      </c>
      <c r="D247" s="40" t="s">
        <v>879</v>
      </c>
      <c r="E247" s="40" t="s">
        <v>879</v>
      </c>
      <c r="F247" s="40" t="s">
        <v>879</v>
      </c>
      <c r="G247" s="40"/>
      <c r="H247" s="40" t="s">
        <v>891</v>
      </c>
      <c r="I247" s="40"/>
      <c r="J247" s="40"/>
      <c r="K247" s="40">
        <v>1.0</v>
      </c>
      <c r="L247" s="40" t="s">
        <v>968</v>
      </c>
      <c r="M247" s="40"/>
    </row>
    <row r="248" ht="15.75" customHeight="1">
      <c r="A248" s="40" t="s">
        <v>1427</v>
      </c>
      <c r="B248" s="40" t="s">
        <v>1428</v>
      </c>
      <c r="C248" s="40" t="s">
        <v>1428</v>
      </c>
      <c r="D248" s="40" t="s">
        <v>879</v>
      </c>
      <c r="E248" s="40" t="s">
        <v>879</v>
      </c>
      <c r="F248" s="40" t="s">
        <v>879</v>
      </c>
      <c r="G248" s="40"/>
      <c r="H248" s="40" t="s">
        <v>891</v>
      </c>
      <c r="I248" s="40"/>
      <c r="J248" s="40"/>
      <c r="K248" s="40">
        <v>1.0</v>
      </c>
      <c r="L248" s="40" t="s">
        <v>968</v>
      </c>
      <c r="M248" s="40"/>
    </row>
    <row r="249" ht="15.75" customHeight="1">
      <c r="A249" s="40" t="s">
        <v>1429</v>
      </c>
      <c r="B249" s="40" t="s">
        <v>1430</v>
      </c>
      <c r="C249" s="40" t="s">
        <v>1430</v>
      </c>
      <c r="D249" s="40" t="s">
        <v>879</v>
      </c>
      <c r="E249" s="40" t="s">
        <v>879</v>
      </c>
      <c r="F249" s="40" t="s">
        <v>879</v>
      </c>
      <c r="G249" s="40"/>
      <c r="H249" s="40" t="s">
        <v>891</v>
      </c>
      <c r="I249" s="40"/>
      <c r="J249" s="40"/>
      <c r="K249" s="40">
        <v>1.0</v>
      </c>
      <c r="L249" s="40" t="s">
        <v>1362</v>
      </c>
      <c r="M249" s="40"/>
    </row>
    <row r="250" ht="15.75" customHeight="1">
      <c r="A250" s="40" t="s">
        <v>1431</v>
      </c>
      <c r="B250" s="40" t="s">
        <v>1432</v>
      </c>
      <c r="C250" s="40" t="s">
        <v>1432</v>
      </c>
      <c r="D250" s="40" t="s">
        <v>879</v>
      </c>
      <c r="E250" s="40" t="s">
        <v>879</v>
      </c>
      <c r="F250" s="40" t="s">
        <v>879</v>
      </c>
      <c r="G250" s="40"/>
      <c r="H250" s="40" t="s">
        <v>891</v>
      </c>
      <c r="I250" s="40"/>
      <c r="J250" s="40"/>
      <c r="K250" s="40">
        <v>1.0</v>
      </c>
      <c r="L250" s="40" t="s">
        <v>892</v>
      </c>
      <c r="M250" s="40"/>
    </row>
    <row r="251" ht="15.75" customHeight="1">
      <c r="A251" s="40" t="s">
        <v>1433</v>
      </c>
      <c r="B251" s="40" t="s">
        <v>1434</v>
      </c>
      <c r="C251" s="40" t="s">
        <v>1434</v>
      </c>
      <c r="D251" s="40" t="s">
        <v>879</v>
      </c>
      <c r="E251" s="40" t="s">
        <v>879</v>
      </c>
      <c r="F251" s="40" t="s">
        <v>879</v>
      </c>
      <c r="G251" s="40"/>
      <c r="H251" s="40" t="s">
        <v>891</v>
      </c>
      <c r="I251" s="40"/>
      <c r="J251" s="40"/>
      <c r="K251" s="40">
        <v>1.0</v>
      </c>
      <c r="L251" s="40" t="s">
        <v>922</v>
      </c>
      <c r="M251" s="40"/>
    </row>
    <row r="252" ht="15.75" customHeight="1">
      <c r="A252" s="40" t="s">
        <v>1435</v>
      </c>
      <c r="B252" s="40" t="s">
        <v>1436</v>
      </c>
      <c r="C252" s="40" t="s">
        <v>1436</v>
      </c>
      <c r="D252" s="40" t="s">
        <v>879</v>
      </c>
      <c r="E252" s="40" t="s">
        <v>879</v>
      </c>
      <c r="F252" s="40" t="s">
        <v>879</v>
      </c>
      <c r="G252" s="40"/>
      <c r="H252" s="40" t="s">
        <v>891</v>
      </c>
      <c r="I252" s="40"/>
      <c r="J252" s="40"/>
      <c r="K252" s="40">
        <v>1.0</v>
      </c>
      <c r="L252" s="40" t="s">
        <v>897</v>
      </c>
      <c r="M252" s="40"/>
    </row>
    <row r="253" ht="15.75" customHeight="1">
      <c r="A253" s="40" t="s">
        <v>1437</v>
      </c>
      <c r="B253" s="40" t="s">
        <v>1438</v>
      </c>
      <c r="C253" s="40" t="s">
        <v>1438</v>
      </c>
      <c r="D253" s="40" t="s">
        <v>879</v>
      </c>
      <c r="E253" s="40" t="s">
        <v>879</v>
      </c>
      <c r="F253" s="40" t="s">
        <v>879</v>
      </c>
      <c r="G253" s="40"/>
      <c r="H253" s="40" t="s">
        <v>891</v>
      </c>
      <c r="I253" s="40"/>
      <c r="J253" s="40"/>
      <c r="K253" s="40">
        <v>1.0</v>
      </c>
      <c r="L253" s="40" t="s">
        <v>922</v>
      </c>
      <c r="M253" s="40"/>
    </row>
    <row r="254" ht="15.75" customHeight="1">
      <c r="A254" s="40" t="s">
        <v>1439</v>
      </c>
      <c r="B254" s="40" t="s">
        <v>1440</v>
      </c>
      <c r="C254" s="40" t="s">
        <v>1440</v>
      </c>
      <c r="D254" s="40" t="s">
        <v>879</v>
      </c>
      <c r="E254" s="40" t="s">
        <v>879</v>
      </c>
      <c r="F254" s="40" t="s">
        <v>879</v>
      </c>
      <c r="G254" s="40"/>
      <c r="H254" s="40" t="s">
        <v>891</v>
      </c>
      <c r="I254" s="40"/>
      <c r="J254" s="40"/>
      <c r="K254" s="40">
        <v>1.0</v>
      </c>
      <c r="L254" s="40" t="s">
        <v>968</v>
      </c>
      <c r="M254" s="40"/>
    </row>
    <row r="255" ht="15.75" customHeight="1">
      <c r="A255" s="40" t="s">
        <v>1441</v>
      </c>
      <c r="B255" s="40" t="s">
        <v>1442</v>
      </c>
      <c r="C255" s="40" t="s">
        <v>1442</v>
      </c>
      <c r="D255" s="40" t="s">
        <v>879</v>
      </c>
      <c r="E255" s="40" t="s">
        <v>879</v>
      </c>
      <c r="F255" s="40" t="s">
        <v>879</v>
      </c>
      <c r="G255" s="40"/>
      <c r="H255" s="40" t="s">
        <v>891</v>
      </c>
      <c r="I255" s="40"/>
      <c r="J255" s="40"/>
      <c r="K255" s="40">
        <v>1.0</v>
      </c>
      <c r="L255" s="40" t="s">
        <v>897</v>
      </c>
      <c r="M255" s="40"/>
    </row>
    <row r="256" ht="15.75" customHeight="1">
      <c r="A256" s="40" t="s">
        <v>1443</v>
      </c>
      <c r="B256" s="40" t="s">
        <v>1444</v>
      </c>
      <c r="C256" s="40" t="s">
        <v>1444</v>
      </c>
      <c r="D256" s="40" t="s">
        <v>879</v>
      </c>
      <c r="E256" s="40" t="s">
        <v>879</v>
      </c>
      <c r="F256" s="40" t="s">
        <v>879</v>
      </c>
      <c r="G256" s="40"/>
      <c r="H256" s="40" t="s">
        <v>891</v>
      </c>
      <c r="I256" s="40"/>
      <c r="J256" s="40"/>
      <c r="K256" s="40">
        <v>1.0</v>
      </c>
      <c r="L256" s="40" t="s">
        <v>892</v>
      </c>
      <c r="M256" s="40"/>
    </row>
    <row r="257" ht="15.75" customHeight="1">
      <c r="A257" s="40" t="s">
        <v>1445</v>
      </c>
      <c r="B257" s="40" t="s">
        <v>1446</v>
      </c>
      <c r="C257" s="40" t="s">
        <v>1446</v>
      </c>
      <c r="D257" s="40" t="s">
        <v>879</v>
      </c>
      <c r="E257" s="40" t="s">
        <v>879</v>
      </c>
      <c r="F257" s="40" t="s">
        <v>904</v>
      </c>
      <c r="G257" s="40"/>
      <c r="H257" s="40" t="s">
        <v>891</v>
      </c>
      <c r="I257" s="40"/>
      <c r="J257" s="40"/>
      <c r="K257" s="40">
        <v>1.0</v>
      </c>
      <c r="L257" s="40" t="s">
        <v>897</v>
      </c>
      <c r="M257" s="40"/>
    </row>
    <row r="258" ht="15.75" customHeight="1">
      <c r="A258" s="40" t="s">
        <v>1447</v>
      </c>
      <c r="B258" s="40" t="s">
        <v>1448</v>
      </c>
      <c r="C258" s="40" t="s">
        <v>1448</v>
      </c>
      <c r="D258" s="40" t="s">
        <v>879</v>
      </c>
      <c r="E258" s="40" t="s">
        <v>879</v>
      </c>
      <c r="F258" s="40" t="s">
        <v>904</v>
      </c>
      <c r="G258" s="40"/>
      <c r="H258" s="40" t="s">
        <v>891</v>
      </c>
      <c r="I258" s="40"/>
      <c r="J258" s="40"/>
      <c r="K258" s="40">
        <v>1.0</v>
      </c>
      <c r="L258" s="40" t="s">
        <v>897</v>
      </c>
      <c r="M258" s="40"/>
    </row>
    <row r="259" ht="15.75" customHeight="1">
      <c r="A259" s="40" t="s">
        <v>1449</v>
      </c>
      <c r="B259" s="40" t="s">
        <v>1450</v>
      </c>
      <c r="C259" s="40" t="s">
        <v>1450</v>
      </c>
      <c r="D259" s="40" t="s">
        <v>879</v>
      </c>
      <c r="E259" s="40" t="s">
        <v>879</v>
      </c>
      <c r="F259" s="40" t="s">
        <v>879</v>
      </c>
      <c r="G259" s="40"/>
      <c r="H259" s="40" t="s">
        <v>891</v>
      </c>
      <c r="I259" s="40"/>
      <c r="J259" s="40"/>
      <c r="K259" s="40">
        <v>1.0</v>
      </c>
      <c r="L259" s="40" t="s">
        <v>961</v>
      </c>
      <c r="M259" s="40"/>
    </row>
    <row r="260" ht="15.75" customHeight="1">
      <c r="A260" s="40" t="s">
        <v>1451</v>
      </c>
      <c r="B260" s="40" t="s">
        <v>1452</v>
      </c>
      <c r="C260" s="40" t="s">
        <v>1452</v>
      </c>
      <c r="D260" s="40" t="s">
        <v>879</v>
      </c>
      <c r="E260" s="40" t="s">
        <v>879</v>
      </c>
      <c r="F260" s="40" t="s">
        <v>879</v>
      </c>
      <c r="G260" s="40"/>
      <c r="H260" s="40" t="s">
        <v>891</v>
      </c>
      <c r="I260" s="40"/>
      <c r="J260" s="40"/>
      <c r="K260" s="40">
        <v>1.0</v>
      </c>
      <c r="L260" s="40" t="s">
        <v>922</v>
      </c>
      <c r="M260" s="40"/>
    </row>
    <row r="261" ht="15.75" customHeight="1">
      <c r="A261" s="40" t="s">
        <v>1453</v>
      </c>
      <c r="B261" s="40" t="s">
        <v>1454</v>
      </c>
      <c r="C261" s="40" t="s">
        <v>1454</v>
      </c>
      <c r="D261" s="40" t="s">
        <v>879</v>
      </c>
      <c r="E261" s="40" t="s">
        <v>879</v>
      </c>
      <c r="F261" s="40" t="s">
        <v>879</v>
      </c>
      <c r="G261" s="40"/>
      <c r="H261" s="40" t="s">
        <v>891</v>
      </c>
      <c r="I261" s="40"/>
      <c r="J261" s="40"/>
      <c r="K261" s="40">
        <v>1.0</v>
      </c>
      <c r="L261" s="40" t="s">
        <v>968</v>
      </c>
      <c r="M261" s="40"/>
    </row>
    <row r="262" ht="15.75" customHeight="1">
      <c r="A262" s="40" t="s">
        <v>1455</v>
      </c>
      <c r="B262" s="40" t="s">
        <v>1456</v>
      </c>
      <c r="C262" s="40" t="s">
        <v>1456</v>
      </c>
      <c r="D262" s="40" t="s">
        <v>879</v>
      </c>
      <c r="E262" s="40" t="s">
        <v>879</v>
      </c>
      <c r="F262" s="40" t="s">
        <v>879</v>
      </c>
      <c r="G262" s="40"/>
      <c r="H262" s="40" t="s">
        <v>891</v>
      </c>
      <c r="I262" s="40"/>
      <c r="J262" s="40"/>
      <c r="K262" s="40">
        <v>1.0</v>
      </c>
      <c r="L262" s="40" t="s">
        <v>968</v>
      </c>
      <c r="M262" s="40"/>
    </row>
    <row r="263" ht="15.75" customHeight="1">
      <c r="A263" s="40" t="s">
        <v>1457</v>
      </c>
      <c r="B263" s="40" t="s">
        <v>1458</v>
      </c>
      <c r="C263" s="40" t="s">
        <v>1458</v>
      </c>
      <c r="D263" s="40" t="s">
        <v>879</v>
      </c>
      <c r="E263" s="40" t="s">
        <v>879</v>
      </c>
      <c r="F263" s="40" t="s">
        <v>879</v>
      </c>
      <c r="G263" s="40"/>
      <c r="H263" s="40" t="s">
        <v>891</v>
      </c>
      <c r="I263" s="40"/>
      <c r="J263" s="40"/>
      <c r="K263" s="40">
        <v>1.0</v>
      </c>
      <c r="L263" s="40" t="s">
        <v>897</v>
      </c>
      <c r="M263" s="40"/>
    </row>
    <row r="264" ht="15.75" customHeight="1">
      <c r="A264" s="40" t="s">
        <v>1459</v>
      </c>
      <c r="B264" s="40" t="s">
        <v>1460</v>
      </c>
      <c r="C264" s="40" t="s">
        <v>1460</v>
      </c>
      <c r="D264" s="40" t="s">
        <v>879</v>
      </c>
      <c r="E264" s="40" t="s">
        <v>879</v>
      </c>
      <c r="F264" s="40" t="s">
        <v>879</v>
      </c>
      <c r="G264" s="40"/>
      <c r="H264" s="40" t="s">
        <v>891</v>
      </c>
      <c r="I264" s="40"/>
      <c r="J264" s="40"/>
      <c r="K264" s="40">
        <v>1.0</v>
      </c>
      <c r="L264" s="40" t="s">
        <v>892</v>
      </c>
      <c r="M264" s="40"/>
    </row>
    <row r="265" ht="15.75" customHeight="1">
      <c r="A265" s="40" t="s">
        <v>1461</v>
      </c>
      <c r="B265" s="40" t="s">
        <v>1462</v>
      </c>
      <c r="C265" s="40" t="s">
        <v>1462</v>
      </c>
      <c r="D265" s="40" t="s">
        <v>879</v>
      </c>
      <c r="E265" s="40" t="s">
        <v>879</v>
      </c>
      <c r="F265" s="40" t="s">
        <v>879</v>
      </c>
      <c r="G265" s="40"/>
      <c r="H265" s="40" t="s">
        <v>891</v>
      </c>
      <c r="I265" s="40"/>
      <c r="J265" s="40"/>
      <c r="K265" s="40">
        <v>1.0</v>
      </c>
      <c r="L265" s="40" t="s">
        <v>892</v>
      </c>
      <c r="M265" s="40"/>
    </row>
    <row r="266" ht="15.75" customHeight="1">
      <c r="A266" s="40" t="s">
        <v>1463</v>
      </c>
      <c r="B266" s="40" t="s">
        <v>1464</v>
      </c>
      <c r="C266" s="40" t="s">
        <v>1464</v>
      </c>
      <c r="D266" s="40" t="s">
        <v>879</v>
      </c>
      <c r="E266" s="40" t="s">
        <v>879</v>
      </c>
      <c r="F266" s="40" t="s">
        <v>879</v>
      </c>
      <c r="G266" s="40"/>
      <c r="H266" s="40" t="s">
        <v>891</v>
      </c>
      <c r="I266" s="40"/>
      <c r="J266" s="40"/>
      <c r="K266" s="40">
        <v>1.0</v>
      </c>
      <c r="L266" s="40" t="s">
        <v>968</v>
      </c>
      <c r="M266" s="40"/>
    </row>
    <row r="267" ht="15.75" customHeight="1">
      <c r="A267" s="40" t="s">
        <v>1465</v>
      </c>
      <c r="B267" s="40" t="s">
        <v>1466</v>
      </c>
      <c r="C267" s="40" t="s">
        <v>1466</v>
      </c>
      <c r="D267" s="40" t="s">
        <v>879</v>
      </c>
      <c r="E267" s="40" t="s">
        <v>879</v>
      </c>
      <c r="F267" s="40" t="s">
        <v>879</v>
      </c>
      <c r="G267" s="40"/>
      <c r="H267" s="40" t="s">
        <v>891</v>
      </c>
      <c r="I267" s="40"/>
      <c r="J267" s="40"/>
      <c r="K267" s="40">
        <v>2.0</v>
      </c>
      <c r="L267" s="40" t="s">
        <v>897</v>
      </c>
      <c r="M267" s="40"/>
    </row>
    <row r="268" ht="15.75" customHeight="1">
      <c r="A268" s="40" t="s">
        <v>1467</v>
      </c>
      <c r="B268" s="40" t="s">
        <v>1468</v>
      </c>
      <c r="C268" s="40" t="s">
        <v>1468</v>
      </c>
      <c r="D268" s="40" t="s">
        <v>879</v>
      </c>
      <c r="E268" s="40" t="s">
        <v>879</v>
      </c>
      <c r="F268" s="40" t="s">
        <v>879</v>
      </c>
      <c r="G268" s="40"/>
      <c r="H268" s="40" t="s">
        <v>891</v>
      </c>
      <c r="I268" s="40"/>
      <c r="J268" s="40"/>
      <c r="K268" s="40">
        <v>1.0</v>
      </c>
      <c r="L268" s="40" t="s">
        <v>892</v>
      </c>
      <c r="M268" s="40"/>
    </row>
    <row r="269" ht="15.75" customHeight="1">
      <c r="A269" s="40" t="s">
        <v>1469</v>
      </c>
      <c r="B269" s="40" t="s">
        <v>1470</v>
      </c>
      <c r="C269" s="40" t="s">
        <v>1470</v>
      </c>
      <c r="D269" s="40" t="s">
        <v>879</v>
      </c>
      <c r="E269" s="40" t="s">
        <v>879</v>
      </c>
      <c r="F269" s="40" t="s">
        <v>904</v>
      </c>
      <c r="G269" s="40"/>
      <c r="H269" s="40" t="s">
        <v>891</v>
      </c>
      <c r="I269" s="40"/>
      <c r="J269" s="40"/>
      <c r="K269" s="40">
        <v>4.0</v>
      </c>
      <c r="L269" s="40" t="s">
        <v>897</v>
      </c>
      <c r="M269" s="40"/>
    </row>
    <row r="270" ht="15.75" customHeight="1">
      <c r="A270" s="40" t="s">
        <v>1471</v>
      </c>
      <c r="B270" s="40" t="s">
        <v>1472</v>
      </c>
      <c r="C270" s="40" t="s">
        <v>1472</v>
      </c>
      <c r="D270" s="40" t="s">
        <v>879</v>
      </c>
      <c r="E270" s="40" t="s">
        <v>879</v>
      </c>
      <c r="F270" s="40" t="s">
        <v>879</v>
      </c>
      <c r="G270" s="40"/>
      <c r="H270" s="40" t="s">
        <v>891</v>
      </c>
      <c r="I270" s="40"/>
      <c r="J270" s="40"/>
      <c r="K270" s="40">
        <v>1.0</v>
      </c>
      <c r="L270" s="40" t="s">
        <v>968</v>
      </c>
      <c r="M270" s="40"/>
    </row>
    <row r="271" ht="15.75" customHeight="1">
      <c r="A271" s="40" t="s">
        <v>1473</v>
      </c>
      <c r="B271" s="40" t="s">
        <v>1474</v>
      </c>
      <c r="C271" s="40" t="s">
        <v>1474</v>
      </c>
      <c r="D271" s="40" t="s">
        <v>879</v>
      </c>
      <c r="E271" s="40" t="s">
        <v>879</v>
      </c>
      <c r="F271" s="40" t="s">
        <v>879</v>
      </c>
      <c r="G271" s="40"/>
      <c r="H271" s="40" t="s">
        <v>891</v>
      </c>
      <c r="I271" s="40"/>
      <c r="J271" s="40"/>
      <c r="K271" s="40">
        <v>1.0</v>
      </c>
      <c r="L271" s="40" t="s">
        <v>897</v>
      </c>
      <c r="M271" s="40"/>
    </row>
    <row r="272" ht="15.75" customHeight="1">
      <c r="A272" s="40" t="s">
        <v>1475</v>
      </c>
      <c r="B272" s="40" t="s">
        <v>1476</v>
      </c>
      <c r="C272" s="40" t="s">
        <v>1476</v>
      </c>
      <c r="D272" s="40" t="s">
        <v>879</v>
      </c>
      <c r="E272" s="40" t="s">
        <v>879</v>
      </c>
      <c r="F272" s="40" t="s">
        <v>879</v>
      </c>
      <c r="G272" s="40"/>
      <c r="H272" s="40" t="s">
        <v>891</v>
      </c>
      <c r="I272" s="40"/>
      <c r="J272" s="40"/>
      <c r="K272" s="40">
        <v>1.0</v>
      </c>
      <c r="L272" s="40" t="s">
        <v>892</v>
      </c>
      <c r="M272" s="40"/>
    </row>
    <row r="273" ht="15.75" customHeight="1">
      <c r="A273" s="40" t="s">
        <v>1477</v>
      </c>
      <c r="B273" s="40" t="s">
        <v>1478</v>
      </c>
      <c r="C273" s="40" t="s">
        <v>1478</v>
      </c>
      <c r="D273" s="40" t="s">
        <v>879</v>
      </c>
      <c r="E273" s="40" t="s">
        <v>879</v>
      </c>
      <c r="F273" s="40" t="s">
        <v>904</v>
      </c>
      <c r="G273" s="40"/>
      <c r="H273" s="40" t="s">
        <v>891</v>
      </c>
      <c r="I273" s="40"/>
      <c r="J273" s="40"/>
      <c r="K273" s="40">
        <v>8.0</v>
      </c>
      <c r="L273" s="40" t="s">
        <v>897</v>
      </c>
      <c r="M273" s="40"/>
    </row>
    <row r="274" ht="15.75" customHeight="1">
      <c r="A274" s="40" t="s">
        <v>1479</v>
      </c>
      <c r="B274" s="40" t="s">
        <v>1480</v>
      </c>
      <c r="C274" s="40" t="s">
        <v>1480</v>
      </c>
      <c r="D274" s="40" t="s">
        <v>879</v>
      </c>
      <c r="E274" s="40" t="s">
        <v>879</v>
      </c>
      <c r="F274" s="40" t="s">
        <v>904</v>
      </c>
      <c r="G274" s="40"/>
      <c r="H274" s="40" t="s">
        <v>891</v>
      </c>
      <c r="I274" s="40"/>
      <c r="J274" s="40"/>
      <c r="K274" s="40">
        <v>4.0</v>
      </c>
      <c r="L274" s="40" t="s">
        <v>897</v>
      </c>
      <c r="M274" s="40"/>
    </row>
    <row r="275" ht="15.75" customHeight="1">
      <c r="A275" s="40" t="s">
        <v>1481</v>
      </c>
      <c r="B275" s="40" t="s">
        <v>1482</v>
      </c>
      <c r="C275" s="40" t="s">
        <v>1482</v>
      </c>
      <c r="D275" s="40" t="s">
        <v>879</v>
      </c>
      <c r="E275" s="40" t="s">
        <v>879</v>
      </c>
      <c r="F275" s="40" t="s">
        <v>904</v>
      </c>
      <c r="G275" s="40"/>
      <c r="H275" s="40" t="s">
        <v>891</v>
      </c>
      <c r="I275" s="40"/>
      <c r="J275" s="40"/>
      <c r="K275" s="40">
        <v>4.0</v>
      </c>
      <c r="L275" s="40" t="s">
        <v>897</v>
      </c>
      <c r="M275" s="40"/>
    </row>
    <row r="276" ht="15.75" customHeight="1">
      <c r="A276" s="40" t="s">
        <v>1483</v>
      </c>
      <c r="B276" s="40" t="s">
        <v>1484</v>
      </c>
      <c r="C276" s="40" t="s">
        <v>1484</v>
      </c>
      <c r="D276" s="40" t="s">
        <v>879</v>
      </c>
      <c r="E276" s="40" t="s">
        <v>879</v>
      </c>
      <c r="F276" s="40" t="s">
        <v>879</v>
      </c>
      <c r="G276" s="40"/>
      <c r="H276" s="40" t="s">
        <v>891</v>
      </c>
      <c r="I276" s="40"/>
      <c r="J276" s="40"/>
      <c r="K276" s="40">
        <v>1.0</v>
      </c>
      <c r="L276" s="40" t="s">
        <v>968</v>
      </c>
      <c r="M276" s="40"/>
    </row>
    <row r="277" ht="15.75" customHeight="1">
      <c r="A277" s="40" t="s">
        <v>1485</v>
      </c>
      <c r="B277" s="40" t="s">
        <v>1486</v>
      </c>
      <c r="C277" s="40" t="s">
        <v>1486</v>
      </c>
      <c r="D277" s="40" t="s">
        <v>879</v>
      </c>
      <c r="E277" s="40" t="s">
        <v>879</v>
      </c>
      <c r="F277" s="40" t="s">
        <v>904</v>
      </c>
      <c r="G277" s="40"/>
      <c r="H277" s="40" t="s">
        <v>891</v>
      </c>
      <c r="I277" s="40"/>
      <c r="J277" s="40"/>
      <c r="K277" s="40">
        <v>1.0</v>
      </c>
      <c r="L277" s="40" t="s">
        <v>897</v>
      </c>
      <c r="M277" s="40"/>
    </row>
    <row r="278" ht="15.75" customHeight="1">
      <c r="A278" s="40" t="s">
        <v>1487</v>
      </c>
      <c r="B278" s="40" t="s">
        <v>1488</v>
      </c>
      <c r="C278" s="40" t="s">
        <v>1488</v>
      </c>
      <c r="D278" s="40" t="s">
        <v>879</v>
      </c>
      <c r="E278" s="40" t="s">
        <v>879</v>
      </c>
      <c r="F278" s="40" t="s">
        <v>904</v>
      </c>
      <c r="G278" s="40"/>
      <c r="H278" s="40" t="s">
        <v>891</v>
      </c>
      <c r="I278" s="40"/>
      <c r="J278" s="40"/>
      <c r="K278" s="40">
        <v>1.0</v>
      </c>
      <c r="L278" s="40" t="s">
        <v>897</v>
      </c>
      <c r="M278" s="40"/>
    </row>
    <row r="279" ht="15.75" customHeight="1">
      <c r="A279" s="40" t="s">
        <v>1489</v>
      </c>
      <c r="B279" s="40" t="s">
        <v>1490</v>
      </c>
      <c r="C279" s="40" t="s">
        <v>1490</v>
      </c>
      <c r="D279" s="40" t="s">
        <v>879</v>
      </c>
      <c r="E279" s="40" t="s">
        <v>879</v>
      </c>
      <c r="F279" s="40" t="s">
        <v>879</v>
      </c>
      <c r="G279" s="40"/>
      <c r="H279" s="40" t="s">
        <v>891</v>
      </c>
      <c r="I279" s="40"/>
      <c r="J279" s="40"/>
      <c r="K279" s="40">
        <v>2.0</v>
      </c>
      <c r="L279" s="40" t="s">
        <v>897</v>
      </c>
      <c r="M279" s="40"/>
    </row>
    <row r="280" ht="15.75" customHeight="1">
      <c r="A280" s="40" t="s">
        <v>1491</v>
      </c>
      <c r="B280" s="40" t="s">
        <v>1492</v>
      </c>
      <c r="C280" s="40" t="s">
        <v>1492</v>
      </c>
      <c r="D280" s="40" t="s">
        <v>879</v>
      </c>
      <c r="E280" s="40" t="s">
        <v>879</v>
      </c>
      <c r="F280" s="40" t="s">
        <v>879</v>
      </c>
      <c r="G280" s="40"/>
      <c r="H280" s="40" t="s">
        <v>891</v>
      </c>
      <c r="I280" s="40"/>
      <c r="J280" s="40"/>
      <c r="K280" s="40">
        <v>1.0</v>
      </c>
      <c r="L280" s="40" t="s">
        <v>892</v>
      </c>
      <c r="M280" s="40"/>
    </row>
    <row r="281" ht="15.75" customHeight="1">
      <c r="A281" s="40" t="s">
        <v>1493</v>
      </c>
      <c r="B281" s="40" t="s">
        <v>1494</v>
      </c>
      <c r="C281" s="40" t="s">
        <v>1495</v>
      </c>
      <c r="D281" s="40" t="s">
        <v>879</v>
      </c>
      <c r="E281" s="40" t="s">
        <v>879</v>
      </c>
      <c r="F281" s="40" t="s">
        <v>1317</v>
      </c>
      <c r="G281" s="40"/>
      <c r="H281" s="40" t="s">
        <v>891</v>
      </c>
      <c r="I281" s="40"/>
      <c r="J281" s="40"/>
      <c r="K281" s="40">
        <v>10.0</v>
      </c>
      <c r="L281" s="40" t="s">
        <v>1117</v>
      </c>
      <c r="M281" s="40"/>
    </row>
    <row r="282" ht="15.75" customHeight="1">
      <c r="A282" s="40" t="s">
        <v>1496</v>
      </c>
      <c r="B282" s="40" t="s">
        <v>1497</v>
      </c>
      <c r="C282" s="40" t="s">
        <v>1498</v>
      </c>
      <c r="D282" s="40" t="s">
        <v>879</v>
      </c>
      <c r="E282" s="40" t="s">
        <v>879</v>
      </c>
      <c r="F282" s="40" t="s">
        <v>1317</v>
      </c>
      <c r="G282" s="40"/>
      <c r="H282" s="40" t="s">
        <v>891</v>
      </c>
      <c r="I282" s="40"/>
      <c r="J282" s="40"/>
      <c r="K282" s="40">
        <v>2.0</v>
      </c>
      <c r="L282" s="40" t="s">
        <v>1117</v>
      </c>
      <c r="M282" s="40"/>
    </row>
    <row r="283" ht="15.75" customHeight="1">
      <c r="A283" s="40" t="s">
        <v>1499</v>
      </c>
      <c r="B283" s="40" t="s">
        <v>1500</v>
      </c>
      <c r="C283" s="40" t="s">
        <v>1501</v>
      </c>
      <c r="D283" s="40" t="s">
        <v>879</v>
      </c>
      <c r="E283" s="40" t="s">
        <v>879</v>
      </c>
      <c r="F283" s="40" t="s">
        <v>1317</v>
      </c>
      <c r="G283" s="40"/>
      <c r="H283" s="40" t="s">
        <v>891</v>
      </c>
      <c r="I283" s="40"/>
      <c r="J283" s="40"/>
      <c r="K283" s="40">
        <v>16.0</v>
      </c>
      <c r="L283" s="40" t="s">
        <v>1117</v>
      </c>
      <c r="M283" s="40"/>
    </row>
    <row r="284" ht="15.75" customHeight="1">
      <c r="A284" s="40" t="s">
        <v>1502</v>
      </c>
      <c r="B284" s="40" t="s">
        <v>1503</v>
      </c>
      <c r="C284" s="40" t="s">
        <v>1504</v>
      </c>
      <c r="D284" s="40" t="s">
        <v>879</v>
      </c>
      <c r="E284" s="40" t="s">
        <v>879</v>
      </c>
      <c r="F284" s="40" t="s">
        <v>1317</v>
      </c>
      <c r="G284" s="40"/>
      <c r="H284" s="40" t="s">
        <v>891</v>
      </c>
      <c r="I284" s="40"/>
      <c r="J284" s="40"/>
      <c r="K284" s="40">
        <v>10.0</v>
      </c>
      <c r="L284" s="40" t="s">
        <v>1117</v>
      </c>
      <c r="M284" s="40"/>
    </row>
    <row r="285" ht="15.75" customHeight="1">
      <c r="A285" s="40" t="s">
        <v>1505</v>
      </c>
      <c r="B285" s="40" t="s">
        <v>1506</v>
      </c>
      <c r="C285" s="40" t="s">
        <v>1507</v>
      </c>
      <c r="D285" s="40" t="s">
        <v>879</v>
      </c>
      <c r="E285" s="40" t="s">
        <v>879</v>
      </c>
      <c r="F285" s="40" t="s">
        <v>1317</v>
      </c>
      <c r="G285" s="40"/>
      <c r="H285" s="40" t="s">
        <v>891</v>
      </c>
      <c r="I285" s="40"/>
      <c r="J285" s="40"/>
      <c r="K285" s="40">
        <v>30.0</v>
      </c>
      <c r="L285" s="40" t="s">
        <v>1117</v>
      </c>
      <c r="M285" s="40"/>
    </row>
    <row r="286" ht="15.75" customHeight="1">
      <c r="A286" s="40" t="s">
        <v>1508</v>
      </c>
      <c r="B286" s="40" t="s">
        <v>1509</v>
      </c>
      <c r="C286" s="40" t="s">
        <v>1510</v>
      </c>
      <c r="D286" s="40" t="s">
        <v>879</v>
      </c>
      <c r="E286" s="40" t="s">
        <v>879</v>
      </c>
      <c r="F286" s="40" t="s">
        <v>1317</v>
      </c>
      <c r="G286" s="40"/>
      <c r="H286" s="40" t="s">
        <v>891</v>
      </c>
      <c r="I286" s="40"/>
      <c r="J286" s="40"/>
      <c r="K286" s="40">
        <v>18.0</v>
      </c>
      <c r="L286" s="40" t="s">
        <v>1117</v>
      </c>
      <c r="M286" s="40"/>
    </row>
    <row r="287" ht="15.75" customHeight="1">
      <c r="A287" s="40" t="s">
        <v>1511</v>
      </c>
      <c r="B287" s="40" t="s">
        <v>1512</v>
      </c>
      <c r="C287" s="40" t="s">
        <v>1512</v>
      </c>
      <c r="D287" s="40" t="s">
        <v>879</v>
      </c>
      <c r="E287" s="40" t="s">
        <v>879</v>
      </c>
      <c r="F287" s="40" t="s">
        <v>879</v>
      </c>
      <c r="G287" s="40"/>
      <c r="H287" s="40" t="s">
        <v>891</v>
      </c>
      <c r="I287" s="40"/>
      <c r="J287" s="40"/>
      <c r="K287" s="40">
        <v>1.0</v>
      </c>
      <c r="L287" s="40" t="s">
        <v>897</v>
      </c>
      <c r="M287" s="40"/>
    </row>
    <row r="288" ht="15.75" customHeight="1">
      <c r="A288" s="40" t="s">
        <v>1513</v>
      </c>
      <c r="B288" s="40" t="s">
        <v>1514</v>
      </c>
      <c r="C288" s="40" t="s">
        <v>1515</v>
      </c>
      <c r="D288" s="40" t="s">
        <v>879</v>
      </c>
      <c r="E288" s="40" t="s">
        <v>879</v>
      </c>
      <c r="F288" s="40" t="s">
        <v>1317</v>
      </c>
      <c r="G288" s="40"/>
      <c r="H288" s="40" t="s">
        <v>891</v>
      </c>
      <c r="I288" s="40"/>
      <c r="J288" s="40"/>
      <c r="K288" s="40">
        <v>10.0</v>
      </c>
      <c r="L288" s="40" t="s">
        <v>1117</v>
      </c>
      <c r="M288" s="40"/>
    </row>
    <row r="289" ht="15.75" customHeight="1">
      <c r="A289" s="40" t="s">
        <v>1516</v>
      </c>
      <c r="B289" s="40" t="s">
        <v>1338</v>
      </c>
      <c r="C289" s="40" t="s">
        <v>1517</v>
      </c>
      <c r="D289" s="40" t="s">
        <v>879</v>
      </c>
      <c r="E289" s="40" t="s">
        <v>879</v>
      </c>
      <c r="F289" s="40" t="s">
        <v>1317</v>
      </c>
      <c r="G289" s="40"/>
      <c r="H289" s="40" t="s">
        <v>891</v>
      </c>
      <c r="I289" s="40"/>
      <c r="J289" s="40"/>
      <c r="K289" s="40">
        <v>4.0</v>
      </c>
      <c r="L289" s="40" t="s">
        <v>1117</v>
      </c>
      <c r="M289" s="40"/>
    </row>
    <row r="290" ht="15.75" customHeight="1">
      <c r="A290" s="40" t="s">
        <v>1518</v>
      </c>
      <c r="B290" s="40" t="s">
        <v>1519</v>
      </c>
      <c r="C290" s="40" t="s">
        <v>1520</v>
      </c>
      <c r="D290" s="40" t="s">
        <v>879</v>
      </c>
      <c r="E290" s="40" t="s">
        <v>879</v>
      </c>
      <c r="F290" s="40" t="s">
        <v>1317</v>
      </c>
      <c r="G290" s="40"/>
      <c r="H290" s="40" t="s">
        <v>891</v>
      </c>
      <c r="I290" s="40"/>
      <c r="J290" s="40"/>
      <c r="K290" s="40">
        <v>4.0</v>
      </c>
      <c r="L290" s="40" t="s">
        <v>1117</v>
      </c>
      <c r="M290" s="40"/>
    </row>
    <row r="291" ht="15.75" customHeight="1">
      <c r="A291" s="40" t="s">
        <v>1521</v>
      </c>
      <c r="B291" s="40" t="s">
        <v>1522</v>
      </c>
      <c r="C291" s="40" t="s">
        <v>1522</v>
      </c>
      <c r="D291" s="40" t="s">
        <v>879</v>
      </c>
      <c r="E291" s="40" t="s">
        <v>879</v>
      </c>
      <c r="F291" s="40" t="s">
        <v>879</v>
      </c>
      <c r="G291" s="40"/>
      <c r="H291" s="40" t="s">
        <v>891</v>
      </c>
      <c r="I291" s="40"/>
      <c r="J291" s="40"/>
      <c r="K291" s="40">
        <v>1.0</v>
      </c>
      <c r="L291" s="40" t="s">
        <v>892</v>
      </c>
      <c r="M291" s="40"/>
    </row>
    <row r="292" ht="15.75" customHeight="1">
      <c r="A292" s="40" t="s">
        <v>1523</v>
      </c>
      <c r="B292" s="40" t="s">
        <v>1524</v>
      </c>
      <c r="C292" s="40" t="s">
        <v>1524</v>
      </c>
      <c r="D292" s="40" t="s">
        <v>879</v>
      </c>
      <c r="E292" s="40" t="s">
        <v>879</v>
      </c>
      <c r="F292" s="40" t="s">
        <v>879</v>
      </c>
      <c r="G292" s="40"/>
      <c r="H292" s="40" t="s">
        <v>891</v>
      </c>
      <c r="I292" s="40"/>
      <c r="J292" s="40"/>
      <c r="K292" s="40">
        <v>4.0</v>
      </c>
      <c r="L292" s="40" t="s">
        <v>1259</v>
      </c>
      <c r="M292" s="40"/>
    </row>
    <row r="293" ht="15.75" customHeight="1">
      <c r="A293" s="40" t="s">
        <v>1525</v>
      </c>
      <c r="B293" s="40" t="s">
        <v>1526</v>
      </c>
      <c r="C293" s="40" t="s">
        <v>1526</v>
      </c>
      <c r="D293" s="40" t="s">
        <v>879</v>
      </c>
      <c r="E293" s="40" t="s">
        <v>879</v>
      </c>
      <c r="F293" s="40" t="s">
        <v>879</v>
      </c>
      <c r="G293" s="40"/>
      <c r="H293" s="40" t="s">
        <v>891</v>
      </c>
      <c r="I293" s="40"/>
      <c r="J293" s="40"/>
      <c r="K293" s="40">
        <v>1.0</v>
      </c>
      <c r="L293" s="40" t="s">
        <v>1527</v>
      </c>
      <c r="M293" s="40"/>
    </row>
    <row r="294" ht="15.75" customHeight="1">
      <c r="A294" s="40" t="s">
        <v>1528</v>
      </c>
      <c r="B294" s="40" t="s">
        <v>1529</v>
      </c>
      <c r="C294" s="40" t="s">
        <v>1529</v>
      </c>
      <c r="D294" s="40" t="s">
        <v>879</v>
      </c>
      <c r="E294" s="40" t="s">
        <v>879</v>
      </c>
      <c r="F294" s="40" t="s">
        <v>904</v>
      </c>
      <c r="G294" s="40"/>
      <c r="H294" s="40" t="s">
        <v>891</v>
      </c>
      <c r="I294" s="40"/>
      <c r="J294" s="40"/>
      <c r="K294" s="40">
        <v>1.0</v>
      </c>
      <c r="L294" s="40" t="s">
        <v>892</v>
      </c>
      <c r="M294" s="40"/>
    </row>
    <row r="295" ht="15.75" customHeight="1">
      <c r="A295" s="40" t="s">
        <v>1530</v>
      </c>
      <c r="B295" s="40" t="s">
        <v>1531</v>
      </c>
      <c r="C295" s="40" t="s">
        <v>1531</v>
      </c>
      <c r="D295" s="40" t="s">
        <v>879</v>
      </c>
      <c r="E295" s="40" t="s">
        <v>879</v>
      </c>
      <c r="F295" s="40" t="s">
        <v>1532</v>
      </c>
      <c r="G295" s="40"/>
      <c r="H295" s="40" t="s">
        <v>891</v>
      </c>
      <c r="I295" s="40"/>
      <c r="J295" s="40"/>
      <c r="K295" s="40">
        <v>1.0</v>
      </c>
      <c r="L295" s="40" t="s">
        <v>897</v>
      </c>
      <c r="M295" s="40"/>
    </row>
    <row r="296" ht="15.75" customHeight="1">
      <c r="A296" s="40" t="s">
        <v>1533</v>
      </c>
      <c r="B296" s="40" t="s">
        <v>1534</v>
      </c>
      <c r="C296" s="40" t="s">
        <v>1534</v>
      </c>
      <c r="D296" s="40" t="s">
        <v>879</v>
      </c>
      <c r="E296" s="40" t="s">
        <v>879</v>
      </c>
      <c r="F296" s="40" t="s">
        <v>1535</v>
      </c>
      <c r="G296" s="40"/>
      <c r="H296" s="40" t="s">
        <v>891</v>
      </c>
      <c r="I296" s="40"/>
      <c r="J296" s="40"/>
      <c r="K296" s="40">
        <v>1.0</v>
      </c>
      <c r="L296" s="40" t="s">
        <v>897</v>
      </c>
      <c r="M296" s="40"/>
    </row>
    <row r="297" ht="15.75" customHeight="1">
      <c r="A297" s="40" t="s">
        <v>1536</v>
      </c>
      <c r="B297" s="40" t="s">
        <v>1537</v>
      </c>
      <c r="C297" s="40" t="s">
        <v>1538</v>
      </c>
      <c r="D297" s="40" t="s">
        <v>879</v>
      </c>
      <c r="E297" s="40" t="s">
        <v>879</v>
      </c>
      <c r="F297" s="40" t="s">
        <v>1317</v>
      </c>
      <c r="G297" s="40"/>
      <c r="H297" s="40" t="s">
        <v>891</v>
      </c>
      <c r="I297" s="40"/>
      <c r="J297" s="40"/>
      <c r="K297" s="40">
        <v>8.0</v>
      </c>
      <c r="L297" s="40" t="s">
        <v>1117</v>
      </c>
      <c r="M297" s="40"/>
    </row>
    <row r="298" ht="15.75" customHeight="1">
      <c r="A298" s="40" t="s">
        <v>1539</v>
      </c>
      <c r="B298" s="40" t="s">
        <v>1540</v>
      </c>
      <c r="C298" s="40" t="s">
        <v>1540</v>
      </c>
      <c r="D298" s="40" t="s">
        <v>879</v>
      </c>
      <c r="E298" s="40" t="s">
        <v>879</v>
      </c>
      <c r="F298" s="40" t="s">
        <v>879</v>
      </c>
      <c r="G298" s="40"/>
      <c r="H298" s="40" t="s">
        <v>891</v>
      </c>
      <c r="I298" s="40"/>
      <c r="J298" s="40"/>
      <c r="K298" s="40">
        <v>1.0</v>
      </c>
      <c r="L298" s="40" t="s">
        <v>1527</v>
      </c>
      <c r="M298" s="40"/>
    </row>
    <row r="299" ht="15.75" customHeight="1">
      <c r="A299" s="40" t="s">
        <v>1541</v>
      </c>
      <c r="B299" s="40" t="s">
        <v>1542</v>
      </c>
      <c r="C299" s="40" t="s">
        <v>1542</v>
      </c>
      <c r="D299" s="40" t="s">
        <v>879</v>
      </c>
      <c r="E299" s="40" t="s">
        <v>879</v>
      </c>
      <c r="F299" s="40" t="s">
        <v>1543</v>
      </c>
      <c r="G299" s="40"/>
      <c r="H299" s="40" t="s">
        <v>891</v>
      </c>
      <c r="I299" s="40"/>
      <c r="J299" s="40"/>
      <c r="K299" s="40">
        <v>3.0</v>
      </c>
      <c r="L299" s="40" t="s">
        <v>897</v>
      </c>
      <c r="M299" s="40"/>
    </row>
    <row r="300" ht="15.75" customHeight="1">
      <c r="A300" s="40" t="s">
        <v>1544</v>
      </c>
      <c r="B300" s="40" t="s">
        <v>1545</v>
      </c>
      <c r="C300" s="40" t="s">
        <v>1546</v>
      </c>
      <c r="D300" s="40" t="s">
        <v>879</v>
      </c>
      <c r="E300" s="40" t="s">
        <v>879</v>
      </c>
      <c r="F300" s="40" t="s">
        <v>1317</v>
      </c>
      <c r="G300" s="40"/>
      <c r="H300" s="40" t="s">
        <v>891</v>
      </c>
      <c r="I300" s="40"/>
      <c r="J300" s="40"/>
      <c r="K300" s="40">
        <v>20.0</v>
      </c>
      <c r="L300" s="40" t="s">
        <v>1117</v>
      </c>
      <c r="M300" s="40"/>
    </row>
    <row r="301" ht="15.75" customHeight="1">
      <c r="A301" s="40" t="s">
        <v>1547</v>
      </c>
      <c r="B301" s="40" t="s">
        <v>1548</v>
      </c>
      <c r="C301" s="40" t="s">
        <v>1548</v>
      </c>
      <c r="D301" s="40" t="s">
        <v>879</v>
      </c>
      <c r="E301" s="40" t="s">
        <v>879</v>
      </c>
      <c r="F301" s="40" t="s">
        <v>879</v>
      </c>
      <c r="G301" s="40"/>
      <c r="H301" s="40" t="s">
        <v>891</v>
      </c>
      <c r="I301" s="40"/>
      <c r="J301" s="40"/>
      <c r="K301" s="40">
        <v>1.0</v>
      </c>
      <c r="L301" s="40" t="s">
        <v>897</v>
      </c>
      <c r="M301" s="40"/>
    </row>
    <row r="302" ht="15.75" customHeight="1">
      <c r="A302" s="40" t="s">
        <v>1549</v>
      </c>
      <c r="B302" s="40" t="s">
        <v>1550</v>
      </c>
      <c r="C302" s="40" t="s">
        <v>1551</v>
      </c>
      <c r="D302" s="40" t="s">
        <v>879</v>
      </c>
      <c r="E302" s="40" t="s">
        <v>879</v>
      </c>
      <c r="F302" s="40" t="s">
        <v>1317</v>
      </c>
      <c r="G302" s="40"/>
      <c r="H302" s="40" t="s">
        <v>891</v>
      </c>
      <c r="I302" s="40"/>
      <c r="J302" s="40"/>
      <c r="K302" s="40">
        <v>5.0</v>
      </c>
      <c r="L302" s="40" t="s">
        <v>1117</v>
      </c>
      <c r="M302" s="40"/>
    </row>
    <row r="303" ht="15.75" customHeight="1">
      <c r="A303" s="40" t="s">
        <v>1552</v>
      </c>
      <c r="B303" s="40" t="s">
        <v>1553</v>
      </c>
      <c r="C303" s="40" t="s">
        <v>1553</v>
      </c>
      <c r="D303" s="40" t="s">
        <v>879</v>
      </c>
      <c r="E303" s="40" t="s">
        <v>879</v>
      </c>
      <c r="F303" s="40" t="s">
        <v>904</v>
      </c>
      <c r="G303" s="40"/>
      <c r="H303" s="40" t="s">
        <v>891</v>
      </c>
      <c r="I303" s="40"/>
      <c r="J303" s="40"/>
      <c r="K303" s="40">
        <v>1.0</v>
      </c>
      <c r="L303" s="40" t="s">
        <v>892</v>
      </c>
      <c r="M303" s="40"/>
    </row>
    <row r="304" ht="15.75" customHeight="1">
      <c r="A304" s="40" t="s">
        <v>1554</v>
      </c>
      <c r="B304" s="40" t="s">
        <v>1555</v>
      </c>
      <c r="C304" s="40" t="s">
        <v>1555</v>
      </c>
      <c r="D304" s="40" t="s">
        <v>879</v>
      </c>
      <c r="E304" s="40" t="s">
        <v>879</v>
      </c>
      <c r="F304" s="40" t="s">
        <v>904</v>
      </c>
      <c r="G304" s="40"/>
      <c r="H304" s="40" t="s">
        <v>891</v>
      </c>
      <c r="I304" s="40"/>
      <c r="J304" s="40"/>
      <c r="K304" s="40">
        <v>1.0</v>
      </c>
      <c r="L304" s="40" t="s">
        <v>892</v>
      </c>
      <c r="M304" s="40"/>
    </row>
    <row r="305" ht="15.75" customHeight="1">
      <c r="A305" s="40" t="s">
        <v>1556</v>
      </c>
      <c r="B305" s="40" t="s">
        <v>1557</v>
      </c>
      <c r="C305" s="40" t="s">
        <v>1557</v>
      </c>
      <c r="D305" s="40" t="s">
        <v>879</v>
      </c>
      <c r="E305" s="40" t="s">
        <v>879</v>
      </c>
      <c r="F305" s="40" t="s">
        <v>1558</v>
      </c>
      <c r="G305" s="40"/>
      <c r="H305" s="40" t="s">
        <v>891</v>
      </c>
      <c r="I305" s="40"/>
      <c r="J305" s="40"/>
      <c r="K305" s="40">
        <v>1.0</v>
      </c>
      <c r="L305" s="40" t="s">
        <v>892</v>
      </c>
      <c r="M305" s="40"/>
    </row>
    <row r="306" ht="15.75" customHeight="1">
      <c r="A306" s="40" t="s">
        <v>1559</v>
      </c>
      <c r="B306" s="40" t="s">
        <v>1560</v>
      </c>
      <c r="C306" s="40" t="s">
        <v>1560</v>
      </c>
      <c r="D306" s="40" t="s">
        <v>879</v>
      </c>
      <c r="E306" s="40" t="s">
        <v>879</v>
      </c>
      <c r="F306" s="40" t="s">
        <v>1561</v>
      </c>
      <c r="G306" s="40"/>
      <c r="H306" s="40" t="s">
        <v>891</v>
      </c>
      <c r="I306" s="40"/>
      <c r="J306" s="40"/>
      <c r="K306" s="40">
        <v>1.0</v>
      </c>
      <c r="L306" s="40" t="s">
        <v>897</v>
      </c>
      <c r="M306" s="40"/>
    </row>
    <row r="307" ht="15.75" customHeight="1">
      <c r="A307" s="40" t="s">
        <v>1562</v>
      </c>
      <c r="B307" s="40" t="s">
        <v>1563</v>
      </c>
      <c r="C307" s="40" t="s">
        <v>1563</v>
      </c>
      <c r="D307" s="40" t="s">
        <v>879</v>
      </c>
      <c r="E307" s="40" t="s">
        <v>879</v>
      </c>
      <c r="F307" s="40" t="s">
        <v>1564</v>
      </c>
      <c r="G307" s="40"/>
      <c r="H307" s="40" t="s">
        <v>891</v>
      </c>
      <c r="I307" s="40"/>
      <c r="J307" s="40"/>
      <c r="K307" s="40">
        <v>1.0</v>
      </c>
      <c r="L307" s="40" t="s">
        <v>897</v>
      </c>
      <c r="M307" s="40"/>
    </row>
    <row r="308" ht="15.75" customHeight="1">
      <c r="A308" s="40" t="s">
        <v>1565</v>
      </c>
      <c r="B308" s="40" t="s">
        <v>1566</v>
      </c>
      <c r="C308" s="40" t="s">
        <v>1566</v>
      </c>
      <c r="D308" s="40" t="s">
        <v>879</v>
      </c>
      <c r="E308" s="40" t="s">
        <v>879</v>
      </c>
      <c r="F308" s="40" t="s">
        <v>879</v>
      </c>
      <c r="G308" s="40"/>
      <c r="H308" s="40" t="s">
        <v>891</v>
      </c>
      <c r="I308" s="40"/>
      <c r="J308" s="40"/>
      <c r="K308" s="40">
        <v>1.0</v>
      </c>
      <c r="L308" s="40" t="s">
        <v>897</v>
      </c>
      <c r="M308" s="40"/>
    </row>
    <row r="309" ht="15.75" customHeight="1">
      <c r="A309" s="40" t="s">
        <v>1567</v>
      </c>
      <c r="B309" s="40" t="s">
        <v>1568</v>
      </c>
      <c r="C309" s="40" t="s">
        <v>1568</v>
      </c>
      <c r="D309" s="40" t="s">
        <v>879</v>
      </c>
      <c r="E309" s="40" t="s">
        <v>879</v>
      </c>
      <c r="F309" s="40" t="s">
        <v>879</v>
      </c>
      <c r="G309" s="40"/>
      <c r="H309" s="40" t="s">
        <v>891</v>
      </c>
      <c r="I309" s="40"/>
      <c r="J309" s="40"/>
      <c r="K309" s="40">
        <v>2.0</v>
      </c>
      <c r="L309" s="40" t="s">
        <v>1527</v>
      </c>
      <c r="M309" s="40"/>
    </row>
    <row r="310" ht="15.75" customHeight="1">
      <c r="A310" s="40" t="s">
        <v>1569</v>
      </c>
      <c r="B310" s="40" t="s">
        <v>1570</v>
      </c>
      <c r="C310" s="40" t="s">
        <v>1570</v>
      </c>
      <c r="D310" s="40" t="s">
        <v>879</v>
      </c>
      <c r="E310" s="40" t="s">
        <v>879</v>
      </c>
      <c r="F310" s="40" t="s">
        <v>879</v>
      </c>
      <c r="G310" s="40"/>
      <c r="H310" s="40" t="s">
        <v>891</v>
      </c>
      <c r="I310" s="40"/>
      <c r="J310" s="40"/>
      <c r="K310" s="40">
        <v>1.0</v>
      </c>
      <c r="L310" s="40" t="s">
        <v>968</v>
      </c>
      <c r="M310" s="40"/>
    </row>
    <row r="311" ht="15.75" customHeight="1">
      <c r="A311" s="40" t="s">
        <v>1571</v>
      </c>
      <c r="B311" s="40" t="s">
        <v>1572</v>
      </c>
      <c r="C311" s="40" t="s">
        <v>1572</v>
      </c>
      <c r="D311" s="40" t="s">
        <v>879</v>
      </c>
      <c r="E311" s="40" t="s">
        <v>879</v>
      </c>
      <c r="F311" s="40" t="s">
        <v>904</v>
      </c>
      <c r="G311" s="40"/>
      <c r="H311" s="40" t="s">
        <v>891</v>
      </c>
      <c r="I311" s="40"/>
      <c r="J311" s="40"/>
      <c r="K311" s="40">
        <v>1.0</v>
      </c>
      <c r="L311" s="40" t="s">
        <v>892</v>
      </c>
      <c r="M311" s="40"/>
    </row>
    <row r="312" ht="15.75" customHeight="1">
      <c r="A312" s="40" t="s">
        <v>1573</v>
      </c>
      <c r="B312" s="40" t="s">
        <v>1574</v>
      </c>
      <c r="C312" s="40" t="s">
        <v>1574</v>
      </c>
      <c r="D312" s="40" t="s">
        <v>879</v>
      </c>
      <c r="E312" s="40" t="s">
        <v>879</v>
      </c>
      <c r="F312" s="40" t="s">
        <v>1558</v>
      </c>
      <c r="G312" s="40"/>
      <c r="H312" s="40" t="s">
        <v>891</v>
      </c>
      <c r="I312" s="40"/>
      <c r="J312" s="40"/>
      <c r="K312" s="40">
        <v>1.0</v>
      </c>
      <c r="L312" s="40" t="s">
        <v>897</v>
      </c>
      <c r="M312" s="40"/>
    </row>
    <row r="313" ht="15.75" customHeight="1">
      <c r="A313" s="40" t="s">
        <v>1575</v>
      </c>
      <c r="B313" s="40" t="s">
        <v>1576</v>
      </c>
      <c r="C313" s="40" t="s">
        <v>1576</v>
      </c>
      <c r="D313" s="40" t="s">
        <v>879</v>
      </c>
      <c r="E313" s="40" t="s">
        <v>879</v>
      </c>
      <c r="F313" s="40" t="s">
        <v>879</v>
      </c>
      <c r="G313" s="40"/>
      <c r="H313" s="40" t="s">
        <v>891</v>
      </c>
      <c r="I313" s="40"/>
      <c r="J313" s="40"/>
      <c r="K313" s="40">
        <v>1.0</v>
      </c>
      <c r="L313" s="40" t="s">
        <v>897</v>
      </c>
      <c r="M313" s="40"/>
    </row>
    <row r="314" ht="15.75" customHeight="1">
      <c r="A314" s="40" t="s">
        <v>1577</v>
      </c>
      <c r="B314" s="40" t="s">
        <v>1578</v>
      </c>
      <c r="C314" s="40" t="s">
        <v>1578</v>
      </c>
      <c r="D314" s="40" t="s">
        <v>879</v>
      </c>
      <c r="E314" s="40" t="s">
        <v>879</v>
      </c>
      <c r="F314" s="40" t="s">
        <v>879</v>
      </c>
      <c r="G314" s="40"/>
      <c r="H314" s="40" t="s">
        <v>891</v>
      </c>
      <c r="I314" s="40"/>
      <c r="J314" s="40"/>
      <c r="K314" s="40">
        <v>1.0</v>
      </c>
      <c r="L314" s="40" t="s">
        <v>897</v>
      </c>
      <c r="M314" s="40"/>
    </row>
    <row r="315" ht="15.75" customHeight="1">
      <c r="A315" s="40" t="s">
        <v>1579</v>
      </c>
      <c r="B315" s="40" t="s">
        <v>1580</v>
      </c>
      <c r="C315" s="40" t="s">
        <v>1580</v>
      </c>
      <c r="D315" s="40" t="s">
        <v>879</v>
      </c>
      <c r="E315" s="40" t="s">
        <v>879</v>
      </c>
      <c r="F315" s="40" t="s">
        <v>1026</v>
      </c>
      <c r="G315" s="40"/>
      <c r="H315" s="40" t="s">
        <v>891</v>
      </c>
      <c r="I315" s="40"/>
      <c r="J315" s="40"/>
      <c r="K315" s="40">
        <v>1.0</v>
      </c>
      <c r="L315" s="40" t="s">
        <v>892</v>
      </c>
      <c r="M315" s="40"/>
    </row>
    <row r="316" ht="15.75" customHeight="1">
      <c r="A316" s="40" t="s">
        <v>1581</v>
      </c>
      <c r="B316" s="40" t="s">
        <v>1582</v>
      </c>
      <c r="C316" s="40" t="s">
        <v>1582</v>
      </c>
      <c r="D316" s="40" t="s">
        <v>879</v>
      </c>
      <c r="E316" s="40" t="s">
        <v>879</v>
      </c>
      <c r="F316" s="40" t="s">
        <v>1583</v>
      </c>
      <c r="G316" s="40"/>
      <c r="H316" s="40" t="s">
        <v>891</v>
      </c>
      <c r="I316" s="40"/>
      <c r="J316" s="40"/>
      <c r="K316" s="40">
        <v>2.0</v>
      </c>
      <c r="L316" s="40" t="s">
        <v>897</v>
      </c>
      <c r="M316" s="40"/>
    </row>
    <row r="317" ht="15.75" customHeight="1">
      <c r="A317" s="40" t="s">
        <v>1584</v>
      </c>
      <c r="B317" s="40" t="s">
        <v>1585</v>
      </c>
      <c r="C317" s="40" t="s">
        <v>1585</v>
      </c>
      <c r="D317" s="40" t="s">
        <v>879</v>
      </c>
      <c r="E317" s="40" t="s">
        <v>879</v>
      </c>
      <c r="F317" s="40" t="s">
        <v>1586</v>
      </c>
      <c r="G317" s="40"/>
      <c r="H317" s="40" t="s">
        <v>891</v>
      </c>
      <c r="I317" s="40"/>
      <c r="J317" s="40"/>
      <c r="K317" s="40">
        <v>1.0</v>
      </c>
      <c r="L317" s="40" t="s">
        <v>897</v>
      </c>
      <c r="M317" s="40"/>
    </row>
    <row r="318" ht="15.75" customHeight="1">
      <c r="A318" s="40" t="s">
        <v>1587</v>
      </c>
      <c r="B318" s="40" t="s">
        <v>1588</v>
      </c>
      <c r="C318" s="40" t="s">
        <v>1588</v>
      </c>
      <c r="D318" s="40" t="s">
        <v>879</v>
      </c>
      <c r="E318" s="40" t="s">
        <v>879</v>
      </c>
      <c r="F318" s="40" t="s">
        <v>879</v>
      </c>
      <c r="G318" s="40"/>
      <c r="H318" s="40" t="s">
        <v>891</v>
      </c>
      <c r="I318" s="40"/>
      <c r="J318" s="40"/>
      <c r="K318" s="40">
        <v>1.0</v>
      </c>
      <c r="L318" s="40" t="s">
        <v>897</v>
      </c>
      <c r="M318" s="40"/>
    </row>
    <row r="319" ht="15.75" customHeight="1">
      <c r="A319" s="40" t="s">
        <v>1589</v>
      </c>
      <c r="B319" s="40" t="s">
        <v>1590</v>
      </c>
      <c r="C319" s="40" t="s">
        <v>1590</v>
      </c>
      <c r="D319" s="40" t="s">
        <v>879</v>
      </c>
      <c r="E319" s="40" t="s">
        <v>879</v>
      </c>
      <c r="F319" s="40" t="s">
        <v>879</v>
      </c>
      <c r="G319" s="40"/>
      <c r="H319" s="40" t="s">
        <v>891</v>
      </c>
      <c r="I319" s="40"/>
      <c r="J319" s="40"/>
      <c r="K319" s="40">
        <v>1.0</v>
      </c>
      <c r="L319" s="40" t="s">
        <v>897</v>
      </c>
      <c r="M319" s="40"/>
    </row>
    <row r="320" ht="15.75" customHeight="1">
      <c r="A320" s="40" t="s">
        <v>1591</v>
      </c>
      <c r="B320" s="40" t="s">
        <v>1592</v>
      </c>
      <c r="C320" s="40" t="s">
        <v>1592</v>
      </c>
      <c r="D320" s="40" t="s">
        <v>879</v>
      </c>
      <c r="E320" s="40" t="s">
        <v>879</v>
      </c>
      <c r="F320" s="40" t="s">
        <v>904</v>
      </c>
      <c r="G320" s="40"/>
      <c r="H320" s="40" t="s">
        <v>891</v>
      </c>
      <c r="I320" s="40"/>
      <c r="J320" s="40"/>
      <c r="K320" s="40">
        <v>2.0</v>
      </c>
      <c r="L320" s="40" t="s">
        <v>892</v>
      </c>
      <c r="M320" s="40"/>
    </row>
    <row r="321" ht="15.75" customHeight="1">
      <c r="A321" s="40" t="s">
        <v>1593</v>
      </c>
      <c r="B321" s="40" t="s">
        <v>1594</v>
      </c>
      <c r="C321" s="40" t="s">
        <v>1594</v>
      </c>
      <c r="D321" s="40" t="s">
        <v>879</v>
      </c>
      <c r="E321" s="40" t="s">
        <v>879</v>
      </c>
      <c r="F321" s="40" t="s">
        <v>1558</v>
      </c>
      <c r="G321" s="40"/>
      <c r="H321" s="40" t="s">
        <v>891</v>
      </c>
      <c r="I321" s="40"/>
      <c r="J321" s="40"/>
      <c r="K321" s="40">
        <v>1.0</v>
      </c>
      <c r="L321" s="40" t="s">
        <v>897</v>
      </c>
      <c r="M321" s="40"/>
    </row>
    <row r="322" ht="15.75" customHeight="1">
      <c r="A322" s="40" t="s">
        <v>1595</v>
      </c>
      <c r="B322" s="40" t="s">
        <v>1596</v>
      </c>
      <c r="C322" s="40" t="s">
        <v>1596</v>
      </c>
      <c r="D322" s="40" t="s">
        <v>879</v>
      </c>
      <c r="E322" s="40" t="s">
        <v>879</v>
      </c>
      <c r="F322" s="40" t="s">
        <v>879</v>
      </c>
      <c r="G322" s="40"/>
      <c r="H322" s="40" t="s">
        <v>891</v>
      </c>
      <c r="I322" s="40"/>
      <c r="J322" s="40"/>
      <c r="K322" s="40">
        <v>1.0</v>
      </c>
      <c r="L322" s="40" t="s">
        <v>897</v>
      </c>
      <c r="M322" s="40"/>
    </row>
    <row r="323" ht="15.75" customHeight="1">
      <c r="A323" s="40" t="s">
        <v>1597</v>
      </c>
      <c r="B323" s="40" t="s">
        <v>1598</v>
      </c>
      <c r="C323" s="40" t="s">
        <v>1598</v>
      </c>
      <c r="D323" s="40" t="s">
        <v>879</v>
      </c>
      <c r="E323" s="40" t="s">
        <v>879</v>
      </c>
      <c r="F323" s="40" t="s">
        <v>1558</v>
      </c>
      <c r="G323" s="40"/>
      <c r="H323" s="40" t="s">
        <v>891</v>
      </c>
      <c r="I323" s="40"/>
      <c r="J323" s="40"/>
      <c r="K323" s="40">
        <v>1.0</v>
      </c>
      <c r="L323" s="40" t="s">
        <v>897</v>
      </c>
      <c r="M323" s="40"/>
    </row>
    <row r="324" ht="15.75" customHeight="1">
      <c r="A324" s="40" t="s">
        <v>1599</v>
      </c>
      <c r="B324" s="40" t="s">
        <v>1600</v>
      </c>
      <c r="C324" s="40" t="s">
        <v>1600</v>
      </c>
      <c r="D324" s="40" t="s">
        <v>879</v>
      </c>
      <c r="E324" s="40" t="s">
        <v>879</v>
      </c>
      <c r="F324" s="40" t="s">
        <v>904</v>
      </c>
      <c r="G324" s="40"/>
      <c r="H324" s="40" t="s">
        <v>891</v>
      </c>
      <c r="I324" s="40"/>
      <c r="J324" s="40"/>
      <c r="K324" s="40">
        <v>1.0</v>
      </c>
      <c r="L324" s="40" t="s">
        <v>892</v>
      </c>
      <c r="M324" s="40"/>
    </row>
    <row r="325" ht="15.75" customHeight="1">
      <c r="A325" s="40" t="s">
        <v>1601</v>
      </c>
      <c r="B325" s="40" t="s">
        <v>1602</v>
      </c>
      <c r="C325" s="40" t="s">
        <v>1602</v>
      </c>
      <c r="D325" s="40" t="s">
        <v>879</v>
      </c>
      <c r="E325" s="40" t="s">
        <v>879</v>
      </c>
      <c r="F325" s="40" t="s">
        <v>1558</v>
      </c>
      <c r="G325" s="40"/>
      <c r="H325" s="40" t="s">
        <v>891</v>
      </c>
      <c r="I325" s="40"/>
      <c r="J325" s="40"/>
      <c r="K325" s="40">
        <v>1.0</v>
      </c>
      <c r="L325" s="40" t="s">
        <v>897</v>
      </c>
      <c r="M325" s="40"/>
    </row>
    <row r="326" ht="15.75" customHeight="1">
      <c r="A326" s="40" t="s">
        <v>1603</v>
      </c>
      <c r="B326" s="40" t="s">
        <v>1604</v>
      </c>
      <c r="C326" s="40" t="s">
        <v>1604</v>
      </c>
      <c r="D326" s="40" t="s">
        <v>879</v>
      </c>
      <c r="E326" s="40" t="s">
        <v>879</v>
      </c>
      <c r="F326" s="40" t="s">
        <v>1558</v>
      </c>
      <c r="G326" s="40"/>
      <c r="H326" s="40" t="s">
        <v>891</v>
      </c>
      <c r="I326" s="40"/>
      <c r="J326" s="40"/>
      <c r="K326" s="40">
        <v>1.0</v>
      </c>
      <c r="L326" s="40" t="s">
        <v>897</v>
      </c>
      <c r="M326" s="40"/>
    </row>
    <row r="327" ht="15.75" customHeight="1">
      <c r="A327" s="40" t="s">
        <v>1605</v>
      </c>
      <c r="B327" s="40" t="s">
        <v>1606</v>
      </c>
      <c r="C327" s="40" t="s">
        <v>1606</v>
      </c>
      <c r="D327" s="40" t="s">
        <v>879</v>
      </c>
      <c r="E327" s="40" t="s">
        <v>879</v>
      </c>
      <c r="F327" s="40" t="s">
        <v>1558</v>
      </c>
      <c r="G327" s="40"/>
      <c r="H327" s="40" t="s">
        <v>891</v>
      </c>
      <c r="I327" s="40"/>
      <c r="J327" s="40"/>
      <c r="K327" s="40">
        <v>1.0</v>
      </c>
      <c r="L327" s="40" t="s">
        <v>897</v>
      </c>
      <c r="M327" s="40"/>
    </row>
    <row r="328" ht="15.75" customHeight="1">
      <c r="A328" s="40" t="s">
        <v>1607</v>
      </c>
      <c r="B328" s="40" t="s">
        <v>1608</v>
      </c>
      <c r="C328" s="40" t="s">
        <v>1608</v>
      </c>
      <c r="D328" s="40" t="s">
        <v>879</v>
      </c>
      <c r="E328" s="40" t="s">
        <v>879</v>
      </c>
      <c r="F328" s="40" t="s">
        <v>1558</v>
      </c>
      <c r="G328" s="40"/>
      <c r="H328" s="40" t="s">
        <v>891</v>
      </c>
      <c r="I328" s="40"/>
      <c r="J328" s="40"/>
      <c r="K328" s="40">
        <v>1.0</v>
      </c>
      <c r="L328" s="40" t="s">
        <v>897</v>
      </c>
      <c r="M328" s="40"/>
    </row>
    <row r="329" ht="15.75" customHeight="1">
      <c r="A329" s="40" t="s">
        <v>1609</v>
      </c>
      <c r="B329" s="40" t="s">
        <v>1610</v>
      </c>
      <c r="C329" s="40" t="s">
        <v>1610</v>
      </c>
      <c r="D329" s="40" t="s">
        <v>879</v>
      </c>
      <c r="E329" s="40" t="s">
        <v>879</v>
      </c>
      <c r="F329" s="40" t="s">
        <v>1611</v>
      </c>
      <c r="G329" s="40"/>
      <c r="H329" s="40" t="s">
        <v>891</v>
      </c>
      <c r="I329" s="40"/>
      <c r="J329" s="40"/>
      <c r="K329" s="40">
        <v>1.0</v>
      </c>
      <c r="L329" s="40" t="s">
        <v>897</v>
      </c>
      <c r="M329" s="40"/>
    </row>
    <row r="330" ht="15.75" customHeight="1">
      <c r="A330" s="40" t="s">
        <v>1612</v>
      </c>
      <c r="B330" s="40" t="s">
        <v>1613</v>
      </c>
      <c r="C330" s="40" t="s">
        <v>1613</v>
      </c>
      <c r="D330" s="40" t="s">
        <v>879</v>
      </c>
      <c r="E330" s="40" t="s">
        <v>879</v>
      </c>
      <c r="F330" s="40" t="s">
        <v>1558</v>
      </c>
      <c r="G330" s="40"/>
      <c r="H330" s="40" t="s">
        <v>891</v>
      </c>
      <c r="I330" s="40"/>
      <c r="J330" s="40"/>
      <c r="K330" s="40">
        <v>1.0</v>
      </c>
      <c r="L330" s="40" t="s">
        <v>897</v>
      </c>
      <c r="M330" s="40"/>
    </row>
    <row r="331" ht="15.75" customHeight="1">
      <c r="A331" s="40" t="s">
        <v>1614</v>
      </c>
      <c r="B331" s="40" t="s">
        <v>1615</v>
      </c>
      <c r="C331" s="40" t="s">
        <v>1615</v>
      </c>
      <c r="D331" s="40" t="s">
        <v>879</v>
      </c>
      <c r="E331" s="40" t="s">
        <v>879</v>
      </c>
      <c r="F331" s="40" t="s">
        <v>1558</v>
      </c>
      <c r="G331" s="40"/>
      <c r="H331" s="40" t="s">
        <v>891</v>
      </c>
      <c r="I331" s="40"/>
      <c r="J331" s="40"/>
      <c r="K331" s="40">
        <v>1.0</v>
      </c>
      <c r="L331" s="40" t="s">
        <v>897</v>
      </c>
      <c r="M331" s="40"/>
    </row>
    <row r="332" ht="15.75" customHeight="1">
      <c r="A332" s="40" t="s">
        <v>1616</v>
      </c>
      <c r="B332" s="40" t="s">
        <v>1617</v>
      </c>
      <c r="C332" s="40" t="s">
        <v>1617</v>
      </c>
      <c r="D332" s="40" t="s">
        <v>879</v>
      </c>
      <c r="E332" s="40" t="s">
        <v>879</v>
      </c>
      <c r="F332" s="40" t="s">
        <v>1558</v>
      </c>
      <c r="G332" s="40"/>
      <c r="H332" s="40" t="s">
        <v>891</v>
      </c>
      <c r="I332" s="40"/>
      <c r="J332" s="40"/>
      <c r="K332" s="40">
        <v>1.0</v>
      </c>
      <c r="L332" s="40" t="s">
        <v>897</v>
      </c>
      <c r="M332" s="40"/>
    </row>
    <row r="333" ht="15.75" customHeight="1">
      <c r="A333" s="40" t="s">
        <v>1618</v>
      </c>
      <c r="B333" s="40" t="s">
        <v>1619</v>
      </c>
      <c r="C333" s="40" t="s">
        <v>1619</v>
      </c>
      <c r="D333" s="40" t="s">
        <v>879</v>
      </c>
      <c r="E333" s="40" t="s">
        <v>879</v>
      </c>
      <c r="F333" s="40" t="s">
        <v>1558</v>
      </c>
      <c r="G333" s="40"/>
      <c r="H333" s="40" t="s">
        <v>891</v>
      </c>
      <c r="I333" s="40"/>
      <c r="J333" s="40"/>
      <c r="K333" s="40">
        <v>1.0</v>
      </c>
      <c r="L333" s="40" t="s">
        <v>897</v>
      </c>
      <c r="M333" s="40"/>
    </row>
    <row r="334" ht="15.75" customHeight="1">
      <c r="A334" s="40" t="s">
        <v>1620</v>
      </c>
      <c r="B334" s="40" t="s">
        <v>1621</v>
      </c>
      <c r="C334" s="40" t="s">
        <v>1621</v>
      </c>
      <c r="D334" s="40" t="s">
        <v>879</v>
      </c>
      <c r="E334" s="40" t="s">
        <v>879</v>
      </c>
      <c r="F334" s="40" t="s">
        <v>879</v>
      </c>
      <c r="G334" s="40"/>
      <c r="H334" s="40" t="s">
        <v>891</v>
      </c>
      <c r="I334" s="40"/>
      <c r="J334" s="40"/>
      <c r="K334" s="40">
        <v>1.0</v>
      </c>
      <c r="L334" s="40" t="s">
        <v>892</v>
      </c>
      <c r="M334" s="40"/>
    </row>
    <row r="335" ht="15.75" customHeight="1">
      <c r="A335" s="40" t="s">
        <v>1622</v>
      </c>
      <c r="B335" s="40" t="s">
        <v>1623</v>
      </c>
      <c r="C335" s="40" t="s">
        <v>1623</v>
      </c>
      <c r="D335" s="40" t="s">
        <v>879</v>
      </c>
      <c r="E335" s="40" t="s">
        <v>879</v>
      </c>
      <c r="F335" s="40" t="s">
        <v>879</v>
      </c>
      <c r="G335" s="40"/>
      <c r="H335" s="40" t="s">
        <v>891</v>
      </c>
      <c r="I335" s="40"/>
      <c r="J335" s="40"/>
      <c r="K335" s="40">
        <v>1.0</v>
      </c>
      <c r="L335" s="40" t="s">
        <v>897</v>
      </c>
      <c r="M335" s="40"/>
    </row>
    <row r="336" ht="15.75" customHeight="1">
      <c r="A336" s="40" t="s">
        <v>1624</v>
      </c>
      <c r="B336" s="40" t="s">
        <v>1625</v>
      </c>
      <c r="C336" s="40" t="s">
        <v>1625</v>
      </c>
      <c r="D336" s="40" t="s">
        <v>879</v>
      </c>
      <c r="E336" s="40" t="s">
        <v>879</v>
      </c>
      <c r="F336" s="40" t="s">
        <v>879</v>
      </c>
      <c r="G336" s="40"/>
      <c r="H336" s="40" t="s">
        <v>891</v>
      </c>
      <c r="I336" s="40"/>
      <c r="J336" s="40"/>
      <c r="K336" s="40">
        <v>1.0</v>
      </c>
      <c r="L336" s="40" t="s">
        <v>892</v>
      </c>
      <c r="M336" s="40"/>
    </row>
    <row r="337" ht="15.75" customHeight="1">
      <c r="A337" s="40" t="s">
        <v>1626</v>
      </c>
      <c r="B337" s="40" t="s">
        <v>1627</v>
      </c>
      <c r="C337" s="40" t="s">
        <v>1627</v>
      </c>
      <c r="D337" s="40" t="s">
        <v>879</v>
      </c>
      <c r="E337" s="40" t="s">
        <v>879</v>
      </c>
      <c r="F337" s="40" t="s">
        <v>879</v>
      </c>
      <c r="G337" s="40"/>
      <c r="H337" s="40" t="s">
        <v>891</v>
      </c>
      <c r="I337" s="40"/>
      <c r="J337" s="40"/>
      <c r="K337" s="40">
        <v>1.0</v>
      </c>
      <c r="L337" s="40" t="s">
        <v>897</v>
      </c>
      <c r="M337" s="40"/>
    </row>
    <row r="338" ht="15.75" customHeight="1">
      <c r="A338" s="40" t="s">
        <v>1628</v>
      </c>
      <c r="B338" s="40" t="s">
        <v>1629</v>
      </c>
      <c r="C338" s="40" t="s">
        <v>1630</v>
      </c>
      <c r="D338" s="40" t="s">
        <v>879</v>
      </c>
      <c r="E338" s="40" t="s">
        <v>879</v>
      </c>
      <c r="F338" s="40" t="s">
        <v>1631</v>
      </c>
      <c r="G338" s="40"/>
      <c r="H338" s="40" t="s">
        <v>891</v>
      </c>
      <c r="I338" s="40"/>
      <c r="J338" s="40"/>
      <c r="K338" s="40">
        <v>4.0</v>
      </c>
      <c r="L338" s="40" t="s">
        <v>892</v>
      </c>
      <c r="M338" s="40"/>
    </row>
    <row r="339" ht="15.75" customHeight="1">
      <c r="A339" s="40" t="s">
        <v>1632</v>
      </c>
      <c r="B339" s="40" t="s">
        <v>1633</v>
      </c>
      <c r="C339" s="40" t="s">
        <v>1633</v>
      </c>
      <c r="D339" s="40" t="s">
        <v>879</v>
      </c>
      <c r="E339" s="40" t="s">
        <v>879</v>
      </c>
      <c r="F339" s="40" t="s">
        <v>879</v>
      </c>
      <c r="G339" s="40"/>
      <c r="H339" s="40" t="s">
        <v>891</v>
      </c>
      <c r="I339" s="40"/>
      <c r="J339" s="40"/>
      <c r="K339" s="40">
        <v>1.0</v>
      </c>
      <c r="L339" s="40" t="s">
        <v>897</v>
      </c>
      <c r="M339" s="40"/>
    </row>
    <row r="340" ht="15.75" customHeight="1">
      <c r="A340" s="40" t="s">
        <v>1634</v>
      </c>
      <c r="B340" s="40" t="s">
        <v>1635</v>
      </c>
      <c r="C340" s="40" t="s">
        <v>1636</v>
      </c>
      <c r="D340" s="40" t="s">
        <v>879</v>
      </c>
      <c r="E340" s="40" t="s">
        <v>879</v>
      </c>
      <c r="F340" s="40" t="s">
        <v>1306</v>
      </c>
      <c r="G340" s="40"/>
      <c r="H340" s="40" t="s">
        <v>891</v>
      </c>
      <c r="I340" s="40"/>
      <c r="J340" s="40"/>
      <c r="K340" s="40">
        <v>8.0</v>
      </c>
      <c r="L340" s="40" t="s">
        <v>1117</v>
      </c>
      <c r="M340" s="40"/>
    </row>
    <row r="341" ht="15.75" customHeight="1">
      <c r="A341" s="40" t="s">
        <v>1637</v>
      </c>
      <c r="B341" s="40" t="s">
        <v>1638</v>
      </c>
      <c r="C341" s="40" t="s">
        <v>1639</v>
      </c>
      <c r="D341" s="40" t="s">
        <v>879</v>
      </c>
      <c r="E341" s="40" t="s">
        <v>879</v>
      </c>
      <c r="F341" s="40" t="s">
        <v>1317</v>
      </c>
      <c r="G341" s="40"/>
      <c r="H341" s="40" t="s">
        <v>891</v>
      </c>
      <c r="I341" s="40"/>
      <c r="J341" s="40"/>
      <c r="K341" s="40">
        <v>8.0</v>
      </c>
      <c r="L341" s="40" t="s">
        <v>1117</v>
      </c>
      <c r="M341" s="40"/>
    </row>
    <row r="342" ht="15.75" customHeight="1">
      <c r="A342" s="40" t="s">
        <v>1640</v>
      </c>
      <c r="B342" s="40" t="s">
        <v>1641</v>
      </c>
      <c r="C342" s="40" t="s">
        <v>1641</v>
      </c>
      <c r="D342" s="40" t="s">
        <v>879</v>
      </c>
      <c r="E342" s="40" t="s">
        <v>879</v>
      </c>
      <c r="F342" s="40" t="s">
        <v>879</v>
      </c>
      <c r="G342" s="40"/>
      <c r="H342" s="40" t="s">
        <v>891</v>
      </c>
      <c r="I342" s="40"/>
      <c r="J342" s="40"/>
      <c r="K342" s="40">
        <v>1.0</v>
      </c>
      <c r="L342" s="40" t="s">
        <v>897</v>
      </c>
      <c r="M342" s="40"/>
    </row>
    <row r="343" ht="15.75" customHeight="1">
      <c r="A343" s="40" t="s">
        <v>1642</v>
      </c>
      <c r="B343" s="40" t="s">
        <v>1643</v>
      </c>
      <c r="C343" s="40" t="s">
        <v>1643</v>
      </c>
      <c r="D343" s="40" t="s">
        <v>879</v>
      </c>
      <c r="E343" s="40" t="s">
        <v>879</v>
      </c>
      <c r="F343" s="40" t="s">
        <v>879</v>
      </c>
      <c r="G343" s="40"/>
      <c r="H343" s="40" t="s">
        <v>891</v>
      </c>
      <c r="I343" s="40"/>
      <c r="J343" s="40"/>
      <c r="K343" s="40">
        <v>4.0</v>
      </c>
      <c r="L343" s="40" t="s">
        <v>897</v>
      </c>
      <c r="M343" s="40"/>
    </row>
    <row r="344" ht="15.75" customHeight="1">
      <c r="A344" s="40" t="s">
        <v>1644</v>
      </c>
      <c r="B344" s="40" t="s">
        <v>1645</v>
      </c>
      <c r="C344" s="40" t="s">
        <v>1645</v>
      </c>
      <c r="D344" s="40" t="s">
        <v>879</v>
      </c>
      <c r="E344" s="40" t="s">
        <v>879</v>
      </c>
      <c r="F344" s="40" t="s">
        <v>879</v>
      </c>
      <c r="G344" s="40"/>
      <c r="H344" s="40" t="s">
        <v>891</v>
      </c>
      <c r="I344" s="40"/>
      <c r="J344" s="40"/>
      <c r="K344" s="40">
        <v>1.0</v>
      </c>
      <c r="L344" s="40" t="s">
        <v>897</v>
      </c>
      <c r="M344" s="40"/>
    </row>
    <row r="345" ht="15.75" customHeight="1">
      <c r="A345" s="40" t="s">
        <v>1646</v>
      </c>
      <c r="B345" s="40" t="s">
        <v>1647</v>
      </c>
      <c r="C345" s="40" t="s">
        <v>1647</v>
      </c>
      <c r="D345" s="40" t="s">
        <v>879</v>
      </c>
      <c r="E345" s="40" t="s">
        <v>879</v>
      </c>
      <c r="F345" s="40" t="s">
        <v>879</v>
      </c>
      <c r="G345" s="40"/>
      <c r="H345" s="40" t="s">
        <v>891</v>
      </c>
      <c r="I345" s="40"/>
      <c r="J345" s="40"/>
      <c r="K345" s="40">
        <v>1.0</v>
      </c>
      <c r="L345" s="40" t="s">
        <v>897</v>
      </c>
      <c r="M345" s="40"/>
    </row>
    <row r="346" ht="15.75" customHeight="1">
      <c r="A346" s="40" t="s">
        <v>1648</v>
      </c>
      <c r="B346" s="40" t="s">
        <v>1649</v>
      </c>
      <c r="C346" s="40" t="s">
        <v>1649</v>
      </c>
      <c r="D346" s="40" t="s">
        <v>879</v>
      </c>
      <c r="E346" s="40" t="s">
        <v>879</v>
      </c>
      <c r="F346" s="40" t="s">
        <v>879</v>
      </c>
      <c r="G346" s="40"/>
      <c r="H346" s="40" t="s">
        <v>891</v>
      </c>
      <c r="I346" s="40"/>
      <c r="J346" s="40"/>
      <c r="K346" s="40">
        <v>4.0</v>
      </c>
      <c r="L346" s="40" t="s">
        <v>897</v>
      </c>
      <c r="M346" s="40"/>
    </row>
    <row r="347" ht="15.75" customHeight="1">
      <c r="A347" s="40" t="s">
        <v>1650</v>
      </c>
      <c r="B347" s="40" t="s">
        <v>1651</v>
      </c>
      <c r="C347" s="40" t="s">
        <v>1651</v>
      </c>
      <c r="D347" s="40" t="s">
        <v>879</v>
      </c>
      <c r="E347" s="40" t="s">
        <v>879</v>
      </c>
      <c r="F347" s="40" t="s">
        <v>879</v>
      </c>
      <c r="G347" s="40"/>
      <c r="H347" s="40" t="s">
        <v>891</v>
      </c>
      <c r="I347" s="40"/>
      <c r="J347" s="40"/>
      <c r="K347" s="40">
        <v>1.0</v>
      </c>
      <c r="L347" s="40" t="s">
        <v>897</v>
      </c>
      <c r="M347" s="40"/>
    </row>
    <row r="348" ht="15.75" customHeight="1">
      <c r="A348" s="40" t="s">
        <v>1652</v>
      </c>
      <c r="B348" s="40" t="s">
        <v>1653</v>
      </c>
      <c r="C348" s="40" t="s">
        <v>1653</v>
      </c>
      <c r="D348" s="40" t="s">
        <v>879</v>
      </c>
      <c r="E348" s="40" t="s">
        <v>879</v>
      </c>
      <c r="F348" s="40" t="s">
        <v>879</v>
      </c>
      <c r="G348" s="40"/>
      <c r="H348" s="40" t="s">
        <v>891</v>
      </c>
      <c r="I348" s="40"/>
      <c r="J348" s="40"/>
      <c r="K348" s="40">
        <v>1.0</v>
      </c>
      <c r="L348" s="40" t="s">
        <v>897</v>
      </c>
      <c r="M348" s="40"/>
    </row>
    <row r="349" ht="15.75" customHeight="1">
      <c r="A349" s="40" t="s">
        <v>1654</v>
      </c>
      <c r="B349" s="40" t="s">
        <v>1655</v>
      </c>
      <c r="C349" s="40" t="s">
        <v>1655</v>
      </c>
      <c r="D349" s="40" t="s">
        <v>879</v>
      </c>
      <c r="E349" s="40" t="s">
        <v>879</v>
      </c>
      <c r="F349" s="40" t="s">
        <v>879</v>
      </c>
      <c r="G349" s="40"/>
      <c r="H349" s="40" t="s">
        <v>891</v>
      </c>
      <c r="I349" s="40"/>
      <c r="J349" s="40"/>
      <c r="K349" s="40">
        <v>1.0</v>
      </c>
      <c r="L349" s="40" t="s">
        <v>897</v>
      </c>
      <c r="M349" s="40"/>
    </row>
    <row r="350" ht="15.75" customHeight="1">
      <c r="A350" s="40" t="s">
        <v>1656</v>
      </c>
      <c r="B350" s="40" t="s">
        <v>1657</v>
      </c>
      <c r="C350" s="40" t="s">
        <v>1657</v>
      </c>
      <c r="D350" s="40" t="s">
        <v>879</v>
      </c>
      <c r="E350" s="40" t="s">
        <v>879</v>
      </c>
      <c r="F350" s="40" t="s">
        <v>879</v>
      </c>
      <c r="G350" s="40"/>
      <c r="H350" s="40" t="s">
        <v>891</v>
      </c>
      <c r="I350" s="40"/>
      <c r="J350" s="40"/>
      <c r="K350" s="40">
        <v>1.0</v>
      </c>
      <c r="L350" s="40" t="s">
        <v>897</v>
      </c>
      <c r="M350" s="40"/>
    </row>
    <row r="351" ht="15.75" customHeight="1">
      <c r="A351" s="40" t="s">
        <v>1658</v>
      </c>
      <c r="B351" s="40" t="s">
        <v>1659</v>
      </c>
      <c r="C351" s="40" t="s">
        <v>1659</v>
      </c>
      <c r="D351" s="40" t="s">
        <v>879</v>
      </c>
      <c r="E351" s="40" t="s">
        <v>879</v>
      </c>
      <c r="F351" s="40" t="s">
        <v>879</v>
      </c>
      <c r="G351" s="40"/>
      <c r="H351" s="40" t="s">
        <v>891</v>
      </c>
      <c r="I351" s="40"/>
      <c r="J351" s="40"/>
      <c r="K351" s="40">
        <v>1.0</v>
      </c>
      <c r="L351" s="40" t="s">
        <v>897</v>
      </c>
      <c r="M351" s="40"/>
    </row>
    <row r="352" ht="15.75" customHeight="1">
      <c r="A352" s="40" t="s">
        <v>1660</v>
      </c>
      <c r="B352" s="40" t="s">
        <v>1661</v>
      </c>
      <c r="C352" s="40" t="s">
        <v>1661</v>
      </c>
      <c r="D352" s="40" t="s">
        <v>879</v>
      </c>
      <c r="E352" s="40" t="s">
        <v>879</v>
      </c>
      <c r="F352" s="40" t="s">
        <v>879</v>
      </c>
      <c r="G352" s="40"/>
      <c r="H352" s="40" t="s">
        <v>891</v>
      </c>
      <c r="I352" s="40"/>
      <c r="J352" s="40"/>
      <c r="K352" s="40">
        <v>1.0</v>
      </c>
      <c r="L352" s="40" t="s">
        <v>961</v>
      </c>
      <c r="M352" s="40"/>
    </row>
    <row r="353" ht="15.75" customHeight="1">
      <c r="A353" s="40" t="s">
        <v>1662</v>
      </c>
      <c r="B353" s="40" t="s">
        <v>1663</v>
      </c>
      <c r="C353" s="40" t="s">
        <v>1663</v>
      </c>
      <c r="D353" s="40" t="s">
        <v>879</v>
      </c>
      <c r="E353" s="40" t="s">
        <v>879</v>
      </c>
      <c r="F353" s="40" t="s">
        <v>879</v>
      </c>
      <c r="G353" s="40"/>
      <c r="H353" s="40" t="s">
        <v>891</v>
      </c>
      <c r="I353" s="40"/>
      <c r="J353" s="40"/>
      <c r="K353" s="40">
        <v>1.0</v>
      </c>
      <c r="L353" s="40" t="s">
        <v>897</v>
      </c>
      <c r="M353" s="40"/>
    </row>
    <row r="354" ht="15.75" customHeight="1">
      <c r="A354" s="40" t="s">
        <v>1664</v>
      </c>
      <c r="B354" s="40" t="s">
        <v>1665</v>
      </c>
      <c r="C354" s="40" t="s">
        <v>1665</v>
      </c>
      <c r="D354" s="40" t="s">
        <v>879</v>
      </c>
      <c r="E354" s="40" t="s">
        <v>879</v>
      </c>
      <c r="F354" s="40" t="s">
        <v>879</v>
      </c>
      <c r="G354" s="40"/>
      <c r="H354" s="40" t="s">
        <v>891</v>
      </c>
      <c r="I354" s="40"/>
      <c r="J354" s="40"/>
      <c r="K354" s="40">
        <v>1.0</v>
      </c>
      <c r="L354" s="40" t="s">
        <v>897</v>
      </c>
      <c r="M354" s="40"/>
    </row>
    <row r="355" ht="15.75" customHeight="1">
      <c r="A355" s="40" t="s">
        <v>1666</v>
      </c>
      <c r="B355" s="40" t="s">
        <v>1667</v>
      </c>
      <c r="C355" s="40" t="s">
        <v>1667</v>
      </c>
      <c r="D355" s="40" t="s">
        <v>879</v>
      </c>
      <c r="E355" s="40" t="s">
        <v>879</v>
      </c>
      <c r="F355" s="40" t="s">
        <v>879</v>
      </c>
      <c r="G355" s="40"/>
      <c r="H355" s="40" t="s">
        <v>891</v>
      </c>
      <c r="I355" s="40"/>
      <c r="J355" s="40"/>
      <c r="K355" s="40">
        <v>1.0</v>
      </c>
      <c r="L355" s="40" t="s">
        <v>897</v>
      </c>
      <c r="M355" s="40"/>
    </row>
    <row r="356" ht="15.75" customHeight="1">
      <c r="A356" s="40" t="s">
        <v>1668</v>
      </c>
      <c r="B356" s="40" t="s">
        <v>1669</v>
      </c>
      <c r="C356" s="40" t="s">
        <v>1669</v>
      </c>
      <c r="D356" s="40" t="s">
        <v>879</v>
      </c>
      <c r="E356" s="40" t="s">
        <v>879</v>
      </c>
      <c r="F356" s="40" t="s">
        <v>879</v>
      </c>
      <c r="G356" s="40"/>
      <c r="H356" s="40" t="s">
        <v>891</v>
      </c>
      <c r="I356" s="40"/>
      <c r="J356" s="40"/>
      <c r="K356" s="40">
        <v>1.0</v>
      </c>
      <c r="L356" s="40" t="s">
        <v>897</v>
      </c>
      <c r="M356" s="40"/>
    </row>
    <row r="357" ht="15.75" customHeight="1">
      <c r="A357" s="40" t="s">
        <v>1670</v>
      </c>
      <c r="B357" s="40" t="s">
        <v>1671</v>
      </c>
      <c r="C357" s="40" t="s">
        <v>1671</v>
      </c>
      <c r="D357" s="40" t="s">
        <v>879</v>
      </c>
      <c r="E357" s="40" t="s">
        <v>879</v>
      </c>
      <c r="F357" s="40" t="s">
        <v>879</v>
      </c>
      <c r="G357" s="40"/>
      <c r="H357" s="40" t="s">
        <v>891</v>
      </c>
      <c r="I357" s="40"/>
      <c r="J357" s="40"/>
      <c r="K357" s="40">
        <v>1.0</v>
      </c>
      <c r="L357" s="40" t="s">
        <v>892</v>
      </c>
      <c r="M357" s="40"/>
    </row>
    <row r="358" ht="15.75" customHeight="1">
      <c r="A358" s="40" t="s">
        <v>1672</v>
      </c>
      <c r="B358" s="40" t="s">
        <v>1673</v>
      </c>
      <c r="C358" s="40" t="s">
        <v>1673</v>
      </c>
      <c r="D358" s="40" t="s">
        <v>879</v>
      </c>
      <c r="E358" s="40" t="s">
        <v>879</v>
      </c>
      <c r="F358" s="40" t="s">
        <v>879</v>
      </c>
      <c r="G358" s="40"/>
      <c r="H358" s="40" t="s">
        <v>891</v>
      </c>
      <c r="I358" s="40"/>
      <c r="J358" s="40"/>
      <c r="K358" s="40">
        <v>1.0</v>
      </c>
      <c r="L358" s="40" t="s">
        <v>897</v>
      </c>
      <c r="M358" s="40"/>
    </row>
    <row r="359" ht="15.75" customHeight="1">
      <c r="A359" s="40" t="s">
        <v>1674</v>
      </c>
      <c r="B359" s="40" t="s">
        <v>1675</v>
      </c>
      <c r="C359" s="40" t="s">
        <v>1675</v>
      </c>
      <c r="D359" s="40" t="s">
        <v>879</v>
      </c>
      <c r="E359" s="40" t="s">
        <v>879</v>
      </c>
      <c r="F359" s="40" t="s">
        <v>879</v>
      </c>
      <c r="G359" s="40"/>
      <c r="H359" s="40" t="s">
        <v>891</v>
      </c>
      <c r="I359" s="40"/>
      <c r="J359" s="40"/>
      <c r="K359" s="40">
        <v>1.0</v>
      </c>
      <c r="L359" s="40" t="s">
        <v>897</v>
      </c>
      <c r="M359" s="40"/>
    </row>
    <row r="360" ht="15.75" customHeight="1">
      <c r="A360" s="40" t="s">
        <v>1676</v>
      </c>
      <c r="B360" s="40" t="s">
        <v>1677</v>
      </c>
      <c r="C360" s="40" t="s">
        <v>1677</v>
      </c>
      <c r="D360" s="40" t="s">
        <v>879</v>
      </c>
      <c r="E360" s="40" t="s">
        <v>879</v>
      </c>
      <c r="F360" s="40" t="s">
        <v>1678</v>
      </c>
      <c r="G360" s="40"/>
      <c r="H360" s="40" t="s">
        <v>891</v>
      </c>
      <c r="I360" s="40"/>
      <c r="J360" s="40"/>
      <c r="K360" s="40">
        <v>1.0</v>
      </c>
      <c r="L360" s="40" t="s">
        <v>897</v>
      </c>
      <c r="M360" s="40"/>
    </row>
    <row r="361" ht="15.75" customHeight="1">
      <c r="A361" s="40" t="s">
        <v>1679</v>
      </c>
      <c r="B361" s="40" t="s">
        <v>1680</v>
      </c>
      <c r="C361" s="40" t="s">
        <v>1680</v>
      </c>
      <c r="D361" s="40" t="s">
        <v>879</v>
      </c>
      <c r="E361" s="40" t="s">
        <v>879</v>
      </c>
      <c r="F361" s="40" t="s">
        <v>1026</v>
      </c>
      <c r="G361" s="40"/>
      <c r="H361" s="40" t="s">
        <v>891</v>
      </c>
      <c r="I361" s="40"/>
      <c r="J361" s="40"/>
      <c r="K361" s="40">
        <v>1.0</v>
      </c>
      <c r="L361" s="40" t="s">
        <v>892</v>
      </c>
      <c r="M361" s="40"/>
    </row>
    <row r="362" ht="15.75" customHeight="1">
      <c r="A362" s="40" t="s">
        <v>1681</v>
      </c>
      <c r="B362" s="40" t="s">
        <v>1682</v>
      </c>
      <c r="C362" s="40" t="s">
        <v>1682</v>
      </c>
      <c r="D362" s="40" t="s">
        <v>879</v>
      </c>
      <c r="E362" s="40" t="s">
        <v>879</v>
      </c>
      <c r="F362" s="40" t="s">
        <v>1586</v>
      </c>
      <c r="G362" s="40"/>
      <c r="H362" s="40" t="s">
        <v>891</v>
      </c>
      <c r="I362" s="40"/>
      <c r="J362" s="40"/>
      <c r="K362" s="40">
        <v>1.0</v>
      </c>
      <c r="L362" s="40" t="s">
        <v>897</v>
      </c>
      <c r="M362" s="40"/>
    </row>
    <row r="363" ht="15.75" customHeight="1">
      <c r="A363" s="40" t="s">
        <v>1683</v>
      </c>
      <c r="B363" s="40" t="s">
        <v>1684</v>
      </c>
      <c r="C363" s="40" t="s">
        <v>1684</v>
      </c>
      <c r="D363" s="40" t="s">
        <v>879</v>
      </c>
      <c r="E363" s="40" t="s">
        <v>879</v>
      </c>
      <c r="F363" s="40" t="s">
        <v>1583</v>
      </c>
      <c r="G363" s="40"/>
      <c r="H363" s="40" t="s">
        <v>891</v>
      </c>
      <c r="I363" s="40"/>
      <c r="J363" s="40"/>
      <c r="K363" s="40">
        <v>2.0</v>
      </c>
      <c r="L363" s="40" t="s">
        <v>897</v>
      </c>
      <c r="M363" s="40"/>
    </row>
    <row r="364" ht="15.75" customHeight="1">
      <c r="A364" s="40" t="s">
        <v>1685</v>
      </c>
      <c r="B364" s="40" t="s">
        <v>1686</v>
      </c>
      <c r="C364" s="40" t="s">
        <v>1686</v>
      </c>
      <c r="D364" s="40" t="s">
        <v>879</v>
      </c>
      <c r="E364" s="40" t="s">
        <v>879</v>
      </c>
      <c r="F364" s="40" t="s">
        <v>904</v>
      </c>
      <c r="G364" s="40"/>
      <c r="H364" s="40" t="s">
        <v>891</v>
      </c>
      <c r="I364" s="40"/>
      <c r="J364" s="40"/>
      <c r="K364" s="40">
        <v>1.0</v>
      </c>
      <c r="L364" s="40" t="s">
        <v>892</v>
      </c>
      <c r="M364" s="40"/>
    </row>
    <row r="365" ht="15.75" customHeight="1">
      <c r="A365" s="40" t="s">
        <v>1687</v>
      </c>
      <c r="B365" s="40" t="s">
        <v>1688</v>
      </c>
      <c r="C365" s="40" t="s">
        <v>1688</v>
      </c>
      <c r="D365" s="40" t="s">
        <v>879</v>
      </c>
      <c r="E365" s="40" t="s">
        <v>879</v>
      </c>
      <c r="F365" s="40" t="s">
        <v>1558</v>
      </c>
      <c r="G365" s="40"/>
      <c r="H365" s="40" t="s">
        <v>891</v>
      </c>
      <c r="I365" s="40"/>
      <c r="J365" s="40"/>
      <c r="K365" s="40">
        <v>1.0</v>
      </c>
      <c r="L365" s="40" t="s">
        <v>897</v>
      </c>
      <c r="M365" s="40"/>
    </row>
    <row r="366" ht="15.75" customHeight="1">
      <c r="A366" s="40" t="s">
        <v>1689</v>
      </c>
      <c r="B366" s="40" t="s">
        <v>1690</v>
      </c>
      <c r="C366" s="40" t="s">
        <v>1690</v>
      </c>
      <c r="D366" s="40" t="s">
        <v>879</v>
      </c>
      <c r="E366" s="40" t="s">
        <v>879</v>
      </c>
      <c r="F366" s="40" t="s">
        <v>1558</v>
      </c>
      <c r="G366" s="40"/>
      <c r="H366" s="40" t="s">
        <v>891</v>
      </c>
      <c r="I366" s="40"/>
      <c r="J366" s="40"/>
      <c r="K366" s="40">
        <v>1.0</v>
      </c>
      <c r="L366" s="40" t="s">
        <v>897</v>
      </c>
      <c r="M366" s="40"/>
    </row>
    <row r="367" ht="15.75" customHeight="1">
      <c r="A367" s="40" t="s">
        <v>1691</v>
      </c>
      <c r="B367" s="40" t="s">
        <v>1692</v>
      </c>
      <c r="C367" s="40" t="s">
        <v>1692</v>
      </c>
      <c r="D367" s="40" t="s">
        <v>879</v>
      </c>
      <c r="E367" s="40" t="s">
        <v>879</v>
      </c>
      <c r="F367" s="40" t="s">
        <v>1558</v>
      </c>
      <c r="G367" s="40"/>
      <c r="H367" s="40" t="s">
        <v>891</v>
      </c>
      <c r="I367" s="40"/>
      <c r="J367" s="40"/>
      <c r="K367" s="40">
        <v>1.0</v>
      </c>
      <c r="L367" s="40" t="s">
        <v>897</v>
      </c>
      <c r="M367" s="40"/>
    </row>
    <row r="368" ht="15.75" customHeight="1">
      <c r="A368" s="40" t="s">
        <v>1693</v>
      </c>
      <c r="B368" s="40" t="s">
        <v>1694</v>
      </c>
      <c r="C368" s="40" t="s">
        <v>1694</v>
      </c>
      <c r="D368" s="40" t="s">
        <v>879</v>
      </c>
      <c r="E368" s="40" t="s">
        <v>879</v>
      </c>
      <c r="F368" s="40" t="s">
        <v>1558</v>
      </c>
      <c r="G368" s="40"/>
      <c r="H368" s="40" t="s">
        <v>891</v>
      </c>
      <c r="I368" s="40"/>
      <c r="J368" s="40"/>
      <c r="K368" s="40">
        <v>1.0</v>
      </c>
      <c r="L368" s="40" t="s">
        <v>897</v>
      </c>
      <c r="M368" s="40"/>
    </row>
    <row r="369" ht="15.75" customHeight="1">
      <c r="A369" s="40" t="s">
        <v>1695</v>
      </c>
      <c r="B369" s="40" t="s">
        <v>1696</v>
      </c>
      <c r="C369" s="40" t="s">
        <v>1696</v>
      </c>
      <c r="D369" s="40" t="s">
        <v>879</v>
      </c>
      <c r="E369" s="40" t="s">
        <v>879</v>
      </c>
      <c r="F369" s="40" t="s">
        <v>1558</v>
      </c>
      <c r="G369" s="40"/>
      <c r="H369" s="40" t="s">
        <v>891</v>
      </c>
      <c r="I369" s="40"/>
      <c r="J369" s="40"/>
      <c r="K369" s="40">
        <v>1.0</v>
      </c>
      <c r="L369" s="40" t="s">
        <v>897</v>
      </c>
      <c r="M369" s="40"/>
    </row>
    <row r="370" ht="15.75" customHeight="1">
      <c r="A370" s="40" t="s">
        <v>1697</v>
      </c>
      <c r="B370" s="40" t="s">
        <v>1698</v>
      </c>
      <c r="C370" s="40" t="s">
        <v>1698</v>
      </c>
      <c r="D370" s="40" t="s">
        <v>879</v>
      </c>
      <c r="E370" s="40" t="s">
        <v>879</v>
      </c>
      <c r="F370" s="40" t="s">
        <v>1558</v>
      </c>
      <c r="G370" s="40"/>
      <c r="H370" s="40" t="s">
        <v>891</v>
      </c>
      <c r="I370" s="40"/>
      <c r="J370" s="40"/>
      <c r="K370" s="40">
        <v>1.0</v>
      </c>
      <c r="L370" s="40" t="s">
        <v>897</v>
      </c>
      <c r="M370" s="40"/>
    </row>
    <row r="371" ht="15.75" customHeight="1">
      <c r="A371" s="40" t="s">
        <v>1699</v>
      </c>
      <c r="B371" s="40" t="s">
        <v>1700</v>
      </c>
      <c r="C371" s="40" t="s">
        <v>1700</v>
      </c>
      <c r="D371" s="40" t="s">
        <v>879</v>
      </c>
      <c r="E371" s="40" t="s">
        <v>879</v>
      </c>
      <c r="F371" s="40" t="s">
        <v>1701</v>
      </c>
      <c r="G371" s="40"/>
      <c r="H371" s="40" t="s">
        <v>891</v>
      </c>
      <c r="I371" s="40"/>
      <c r="J371" s="40"/>
      <c r="K371" s="40">
        <v>1.0</v>
      </c>
      <c r="L371" s="40" t="s">
        <v>897</v>
      </c>
      <c r="M371" s="40"/>
    </row>
    <row r="372" ht="15.75" customHeight="1">
      <c r="A372" s="40" t="s">
        <v>1702</v>
      </c>
      <c r="B372" s="40" t="s">
        <v>1703</v>
      </c>
      <c r="C372" s="40" t="s">
        <v>1703</v>
      </c>
      <c r="D372" s="40" t="s">
        <v>879</v>
      </c>
      <c r="E372" s="40" t="s">
        <v>879</v>
      </c>
      <c r="F372" s="40" t="s">
        <v>1558</v>
      </c>
      <c r="G372" s="40"/>
      <c r="H372" s="40" t="s">
        <v>891</v>
      </c>
      <c r="I372" s="40"/>
      <c r="J372" s="40"/>
      <c r="K372" s="40">
        <v>1.0</v>
      </c>
      <c r="L372" s="40" t="s">
        <v>897</v>
      </c>
      <c r="M372" s="40"/>
    </row>
    <row r="373" ht="15.75" customHeight="1">
      <c r="A373" s="40" t="s">
        <v>1704</v>
      </c>
      <c r="B373" s="40" t="s">
        <v>1705</v>
      </c>
      <c r="C373" s="40" t="s">
        <v>1705</v>
      </c>
      <c r="D373" s="40" t="s">
        <v>879</v>
      </c>
      <c r="E373" s="40" t="s">
        <v>879</v>
      </c>
      <c r="F373" s="40" t="s">
        <v>1558</v>
      </c>
      <c r="G373" s="40"/>
      <c r="H373" s="40" t="s">
        <v>891</v>
      </c>
      <c r="I373" s="40"/>
      <c r="J373" s="40"/>
      <c r="K373" s="40">
        <v>1.0</v>
      </c>
      <c r="L373" s="40" t="s">
        <v>897</v>
      </c>
      <c r="M373" s="40"/>
    </row>
    <row r="374" ht="15.75" customHeight="1">
      <c r="A374" s="40" t="s">
        <v>1706</v>
      </c>
      <c r="B374" s="40" t="s">
        <v>1707</v>
      </c>
      <c r="C374" s="40" t="s">
        <v>1707</v>
      </c>
      <c r="D374" s="40" t="s">
        <v>879</v>
      </c>
      <c r="E374" s="40" t="s">
        <v>879</v>
      </c>
      <c r="F374" s="40" t="s">
        <v>1558</v>
      </c>
      <c r="G374" s="40"/>
      <c r="H374" s="40" t="s">
        <v>891</v>
      </c>
      <c r="I374" s="40"/>
      <c r="J374" s="40"/>
      <c r="K374" s="40">
        <v>1.0</v>
      </c>
      <c r="L374" s="40" t="s">
        <v>897</v>
      </c>
      <c r="M374" s="40"/>
    </row>
    <row r="375" ht="15.75" customHeight="1">
      <c r="A375" s="40" t="s">
        <v>1708</v>
      </c>
      <c r="B375" s="40" t="s">
        <v>1709</v>
      </c>
      <c r="C375" s="40" t="s">
        <v>1709</v>
      </c>
      <c r="D375" s="40" t="s">
        <v>879</v>
      </c>
      <c r="E375" s="40" t="s">
        <v>879</v>
      </c>
      <c r="F375" s="40" t="s">
        <v>1558</v>
      </c>
      <c r="G375" s="40"/>
      <c r="H375" s="40" t="s">
        <v>891</v>
      </c>
      <c r="I375" s="40"/>
      <c r="J375" s="40"/>
      <c r="K375" s="40">
        <v>1.0</v>
      </c>
      <c r="L375" s="40" t="s">
        <v>897</v>
      </c>
      <c r="M375" s="40"/>
    </row>
    <row r="376" ht="15.75" customHeight="1">
      <c r="A376" s="40" t="s">
        <v>1710</v>
      </c>
      <c r="B376" s="40" t="s">
        <v>1711</v>
      </c>
      <c r="C376" s="40" t="s">
        <v>1711</v>
      </c>
      <c r="D376" s="40" t="s">
        <v>879</v>
      </c>
      <c r="E376" s="40" t="s">
        <v>879</v>
      </c>
      <c r="F376" s="40" t="s">
        <v>1558</v>
      </c>
      <c r="G376" s="40"/>
      <c r="H376" s="40" t="s">
        <v>891</v>
      </c>
      <c r="I376" s="40"/>
      <c r="J376" s="40"/>
      <c r="K376" s="40">
        <v>1.0</v>
      </c>
      <c r="L376" s="40" t="s">
        <v>897</v>
      </c>
      <c r="M376" s="40"/>
    </row>
    <row r="377" ht="15.75" customHeight="1">
      <c r="A377" s="40" t="s">
        <v>1712</v>
      </c>
      <c r="B377" s="40" t="s">
        <v>1713</v>
      </c>
      <c r="C377" s="40" t="s">
        <v>1713</v>
      </c>
      <c r="D377" s="40" t="s">
        <v>879</v>
      </c>
      <c r="E377" s="40" t="s">
        <v>879</v>
      </c>
      <c r="F377" s="40" t="s">
        <v>879</v>
      </c>
      <c r="G377" s="40"/>
      <c r="H377" s="40" t="s">
        <v>891</v>
      </c>
      <c r="I377" s="40"/>
      <c r="J377" s="40"/>
      <c r="K377" s="40">
        <v>1.0</v>
      </c>
      <c r="L377" s="40" t="s">
        <v>897</v>
      </c>
      <c r="M377" s="40"/>
    </row>
    <row r="378" ht="15.75" customHeight="1">
      <c r="A378" s="40" t="s">
        <v>1714</v>
      </c>
      <c r="B378" s="40" t="s">
        <v>1715</v>
      </c>
      <c r="C378" s="40" t="s">
        <v>1715</v>
      </c>
      <c r="D378" s="40" t="s">
        <v>879</v>
      </c>
      <c r="E378" s="40" t="s">
        <v>879</v>
      </c>
      <c r="F378" s="40" t="s">
        <v>879</v>
      </c>
      <c r="G378" s="40"/>
      <c r="H378" s="40" t="s">
        <v>891</v>
      </c>
      <c r="I378" s="40"/>
      <c r="J378" s="40"/>
      <c r="K378" s="40">
        <v>1.0</v>
      </c>
      <c r="L378" s="40" t="s">
        <v>897</v>
      </c>
      <c r="M378" s="40"/>
    </row>
    <row r="379" ht="15.75" customHeight="1">
      <c r="A379" s="40" t="s">
        <v>1716</v>
      </c>
      <c r="B379" s="40" t="s">
        <v>1717</v>
      </c>
      <c r="C379" s="40" t="s">
        <v>1717</v>
      </c>
      <c r="D379" s="40" t="s">
        <v>879</v>
      </c>
      <c r="E379" s="40" t="s">
        <v>879</v>
      </c>
      <c r="F379" s="40" t="s">
        <v>879</v>
      </c>
      <c r="G379" s="40"/>
      <c r="H379" s="40" t="s">
        <v>891</v>
      </c>
      <c r="I379" s="40"/>
      <c r="J379" s="40"/>
      <c r="K379" s="40">
        <v>1.0</v>
      </c>
      <c r="L379" s="40" t="s">
        <v>892</v>
      </c>
      <c r="M379" s="40"/>
    </row>
    <row r="380" ht="15.75" customHeight="1">
      <c r="A380" s="40" t="s">
        <v>1718</v>
      </c>
      <c r="B380" s="40" t="s">
        <v>1719</v>
      </c>
      <c r="C380" s="40" t="s">
        <v>1719</v>
      </c>
      <c r="D380" s="40" t="s">
        <v>879</v>
      </c>
      <c r="E380" s="40" t="s">
        <v>879</v>
      </c>
      <c r="F380" s="40" t="s">
        <v>879</v>
      </c>
      <c r="G380" s="40"/>
      <c r="H380" s="40" t="s">
        <v>891</v>
      </c>
      <c r="I380" s="40"/>
      <c r="J380" s="40"/>
      <c r="K380" s="40">
        <v>1.0</v>
      </c>
      <c r="L380" s="40" t="s">
        <v>968</v>
      </c>
      <c r="M380" s="40"/>
    </row>
    <row r="381" ht="15.75" customHeight="1">
      <c r="A381" s="40" t="s">
        <v>1720</v>
      </c>
      <c r="B381" s="40" t="s">
        <v>1721</v>
      </c>
      <c r="C381" s="40" t="s">
        <v>1721</v>
      </c>
      <c r="D381" s="40" t="s">
        <v>879</v>
      </c>
      <c r="E381" s="40" t="s">
        <v>879</v>
      </c>
      <c r="F381" s="40" t="s">
        <v>879</v>
      </c>
      <c r="G381" s="40"/>
      <c r="H381" s="40" t="s">
        <v>891</v>
      </c>
      <c r="I381" s="40"/>
      <c r="J381" s="40"/>
      <c r="K381" s="40">
        <v>1.0</v>
      </c>
      <c r="L381" s="40" t="s">
        <v>922</v>
      </c>
      <c r="M381" s="40"/>
    </row>
    <row r="382" ht="15.75" customHeight="1">
      <c r="A382" s="40" t="s">
        <v>1722</v>
      </c>
      <c r="B382" s="40" t="s">
        <v>1723</v>
      </c>
      <c r="C382" s="40" t="s">
        <v>1723</v>
      </c>
      <c r="D382" s="40" t="s">
        <v>879</v>
      </c>
      <c r="E382" s="40" t="s">
        <v>879</v>
      </c>
      <c r="F382" s="40" t="s">
        <v>879</v>
      </c>
      <c r="G382" s="40"/>
      <c r="H382" s="40" t="s">
        <v>891</v>
      </c>
      <c r="I382" s="40"/>
      <c r="J382" s="40"/>
      <c r="K382" s="40">
        <v>1.0</v>
      </c>
      <c r="L382" s="40" t="s">
        <v>897</v>
      </c>
      <c r="M382" s="40"/>
    </row>
    <row r="383" ht="15.75" customHeight="1">
      <c r="A383" s="40" t="s">
        <v>1724</v>
      </c>
      <c r="B383" s="40" t="s">
        <v>1725</v>
      </c>
      <c r="C383" s="40" t="s">
        <v>1725</v>
      </c>
      <c r="D383" s="40" t="s">
        <v>879</v>
      </c>
      <c r="E383" s="40" t="s">
        <v>879</v>
      </c>
      <c r="F383" s="40" t="s">
        <v>879</v>
      </c>
      <c r="G383" s="40"/>
      <c r="H383" s="40" t="s">
        <v>891</v>
      </c>
      <c r="I383" s="40"/>
      <c r="J383" s="40"/>
      <c r="K383" s="40">
        <v>1.0</v>
      </c>
      <c r="L383" s="40" t="s">
        <v>897</v>
      </c>
      <c r="M383" s="40"/>
    </row>
    <row r="384" ht="15.75" customHeight="1">
      <c r="A384" s="40" t="s">
        <v>1726</v>
      </c>
      <c r="B384" s="40" t="s">
        <v>1727</v>
      </c>
      <c r="C384" s="40" t="s">
        <v>1727</v>
      </c>
      <c r="D384" s="40" t="s">
        <v>879</v>
      </c>
      <c r="E384" s="40" t="s">
        <v>879</v>
      </c>
      <c r="F384" s="40" t="s">
        <v>879</v>
      </c>
      <c r="G384" s="40"/>
      <c r="H384" s="40" t="s">
        <v>891</v>
      </c>
      <c r="I384" s="40"/>
      <c r="J384" s="40"/>
      <c r="K384" s="40">
        <v>1.0</v>
      </c>
      <c r="L384" s="40" t="s">
        <v>892</v>
      </c>
      <c r="M384" s="40"/>
    </row>
    <row r="385" ht="15.75" customHeight="1">
      <c r="A385" s="40" t="s">
        <v>1728</v>
      </c>
      <c r="B385" s="40" t="s">
        <v>1729</v>
      </c>
      <c r="C385" s="40" t="s">
        <v>1729</v>
      </c>
      <c r="D385" s="40" t="s">
        <v>879</v>
      </c>
      <c r="E385" s="40" t="s">
        <v>879</v>
      </c>
      <c r="F385" s="40" t="s">
        <v>904</v>
      </c>
      <c r="G385" s="40"/>
      <c r="H385" s="40" t="s">
        <v>891</v>
      </c>
      <c r="I385" s="40"/>
      <c r="J385" s="40"/>
      <c r="K385" s="40">
        <v>5.0</v>
      </c>
      <c r="L385" s="40" t="s">
        <v>897</v>
      </c>
      <c r="M385" s="40"/>
    </row>
    <row r="386" ht="15.75" customHeight="1">
      <c r="A386" s="40" t="s">
        <v>1730</v>
      </c>
      <c r="B386" s="40" t="s">
        <v>1731</v>
      </c>
      <c r="C386" s="40" t="s">
        <v>1731</v>
      </c>
      <c r="D386" s="40" t="s">
        <v>879</v>
      </c>
      <c r="E386" s="40" t="s">
        <v>879</v>
      </c>
      <c r="F386" s="40" t="s">
        <v>904</v>
      </c>
      <c r="G386" s="40"/>
      <c r="H386" s="40" t="s">
        <v>891</v>
      </c>
      <c r="I386" s="40"/>
      <c r="J386" s="40"/>
      <c r="K386" s="40">
        <v>12.0</v>
      </c>
      <c r="L386" s="40" t="s">
        <v>897</v>
      </c>
      <c r="M386" s="40"/>
    </row>
    <row r="387" ht="15.75" customHeight="1">
      <c r="A387" s="40" t="s">
        <v>1732</v>
      </c>
      <c r="B387" s="40" t="s">
        <v>1733</v>
      </c>
      <c r="C387" s="40" t="s">
        <v>1733</v>
      </c>
      <c r="D387" s="40" t="s">
        <v>879</v>
      </c>
      <c r="E387" s="40" t="s">
        <v>879</v>
      </c>
      <c r="F387" s="40" t="s">
        <v>904</v>
      </c>
      <c r="G387" s="40"/>
      <c r="H387" s="40" t="s">
        <v>891</v>
      </c>
      <c r="I387" s="40"/>
      <c r="J387" s="40"/>
      <c r="K387" s="40">
        <v>2.0</v>
      </c>
      <c r="L387" s="40" t="s">
        <v>897</v>
      </c>
      <c r="M387" s="40"/>
    </row>
    <row r="388" ht="15.75" customHeight="1">
      <c r="A388" s="40" t="s">
        <v>1734</v>
      </c>
      <c r="B388" s="40" t="s">
        <v>1735</v>
      </c>
      <c r="C388" s="40" t="s">
        <v>1735</v>
      </c>
      <c r="D388" s="40" t="s">
        <v>879</v>
      </c>
      <c r="E388" s="40" t="s">
        <v>879</v>
      </c>
      <c r="F388" s="40" t="s">
        <v>904</v>
      </c>
      <c r="G388" s="40"/>
      <c r="H388" s="40" t="s">
        <v>891</v>
      </c>
      <c r="I388" s="40"/>
      <c r="J388" s="40"/>
      <c r="K388" s="40">
        <v>10.0</v>
      </c>
      <c r="L388" s="40" t="s">
        <v>897</v>
      </c>
      <c r="M388" s="40"/>
    </row>
    <row r="389" ht="15.75" customHeight="1">
      <c r="A389" s="40" t="s">
        <v>1736</v>
      </c>
      <c r="B389" s="40" t="s">
        <v>1737</v>
      </c>
      <c r="C389" s="40" t="s">
        <v>1737</v>
      </c>
      <c r="D389" s="40" t="s">
        <v>879</v>
      </c>
      <c r="E389" s="40" t="s">
        <v>879</v>
      </c>
      <c r="F389" s="40" t="s">
        <v>879</v>
      </c>
      <c r="G389" s="40"/>
      <c r="H389" s="40" t="s">
        <v>891</v>
      </c>
      <c r="I389" s="40"/>
      <c r="J389" s="40"/>
      <c r="K389" s="40">
        <v>1.0</v>
      </c>
      <c r="L389" s="40" t="s">
        <v>897</v>
      </c>
      <c r="M389" s="40"/>
    </row>
    <row r="390" ht="15.75" customHeight="1">
      <c r="A390" s="40" t="s">
        <v>1738</v>
      </c>
      <c r="B390" s="40" t="s">
        <v>1739</v>
      </c>
      <c r="C390" s="40" t="s">
        <v>1739</v>
      </c>
      <c r="D390" s="40" t="s">
        <v>879</v>
      </c>
      <c r="E390" s="40" t="s">
        <v>879</v>
      </c>
      <c r="F390" s="40" t="s">
        <v>904</v>
      </c>
      <c r="G390" s="40"/>
      <c r="H390" s="40" t="s">
        <v>891</v>
      </c>
      <c r="I390" s="40"/>
      <c r="J390" s="40"/>
      <c r="K390" s="40">
        <v>1.0</v>
      </c>
      <c r="L390" s="40" t="s">
        <v>897</v>
      </c>
      <c r="M390" s="40"/>
    </row>
    <row r="391" ht="15.75" customHeight="1">
      <c r="A391" s="40" t="s">
        <v>1740</v>
      </c>
      <c r="B391" s="40" t="s">
        <v>1741</v>
      </c>
      <c r="C391" s="40" t="s">
        <v>1741</v>
      </c>
      <c r="D391" s="40" t="s">
        <v>879</v>
      </c>
      <c r="E391" s="40" t="s">
        <v>879</v>
      </c>
      <c r="F391" s="40" t="s">
        <v>879</v>
      </c>
      <c r="G391" s="40"/>
      <c r="H391" s="40" t="s">
        <v>891</v>
      </c>
      <c r="I391" s="40"/>
      <c r="J391" s="40"/>
      <c r="K391" s="40">
        <v>1.0</v>
      </c>
      <c r="L391" s="40" t="s">
        <v>892</v>
      </c>
      <c r="M391" s="40"/>
    </row>
    <row r="392" ht="15.75" customHeight="1">
      <c r="A392" s="40" t="s">
        <v>1742</v>
      </c>
      <c r="B392" s="40" t="s">
        <v>1743</v>
      </c>
      <c r="C392" s="40" t="s">
        <v>1743</v>
      </c>
      <c r="D392" s="40" t="s">
        <v>879</v>
      </c>
      <c r="E392" s="40" t="s">
        <v>879</v>
      </c>
      <c r="F392" s="40" t="s">
        <v>904</v>
      </c>
      <c r="G392" s="40"/>
      <c r="H392" s="40" t="s">
        <v>891</v>
      </c>
      <c r="I392" s="40"/>
      <c r="J392" s="40"/>
      <c r="K392" s="40">
        <v>1.0</v>
      </c>
      <c r="L392" s="40" t="s">
        <v>897</v>
      </c>
      <c r="M392" s="40"/>
    </row>
    <row r="393" ht="15.75" customHeight="1">
      <c r="A393" s="40" t="s">
        <v>1744</v>
      </c>
      <c r="B393" s="40" t="s">
        <v>1745</v>
      </c>
      <c r="C393" s="40" t="s">
        <v>1745</v>
      </c>
      <c r="D393" s="40" t="s">
        <v>879</v>
      </c>
      <c r="E393" s="40" t="s">
        <v>879</v>
      </c>
      <c r="F393" s="40" t="s">
        <v>904</v>
      </c>
      <c r="G393" s="40"/>
      <c r="H393" s="40" t="s">
        <v>891</v>
      </c>
      <c r="I393" s="40"/>
      <c r="J393" s="40"/>
      <c r="K393" s="40">
        <v>1.0</v>
      </c>
      <c r="L393" s="40" t="s">
        <v>897</v>
      </c>
      <c r="M393" s="40"/>
    </row>
    <row r="394" ht="15.75" customHeight="1">
      <c r="A394" s="40" t="s">
        <v>1746</v>
      </c>
      <c r="B394" s="40" t="s">
        <v>1747</v>
      </c>
      <c r="C394" s="40" t="s">
        <v>1747</v>
      </c>
      <c r="D394" s="40" t="s">
        <v>879</v>
      </c>
      <c r="E394" s="40" t="s">
        <v>879</v>
      </c>
      <c r="F394" s="40" t="s">
        <v>879</v>
      </c>
      <c r="G394" s="40"/>
      <c r="H394" s="40" t="s">
        <v>891</v>
      </c>
      <c r="I394" s="40"/>
      <c r="J394" s="40"/>
      <c r="K394" s="40">
        <v>1.0</v>
      </c>
      <c r="L394" s="40" t="s">
        <v>897</v>
      </c>
      <c r="M394" s="40"/>
    </row>
    <row r="395" ht="15.75" customHeight="1">
      <c r="A395" s="40" t="s">
        <v>1748</v>
      </c>
      <c r="B395" s="40" t="s">
        <v>1749</v>
      </c>
      <c r="C395" s="40" t="s">
        <v>1749</v>
      </c>
      <c r="D395" s="40" t="s">
        <v>879</v>
      </c>
      <c r="E395" s="40" t="s">
        <v>879</v>
      </c>
      <c r="F395" s="40" t="s">
        <v>879</v>
      </c>
      <c r="G395" s="40"/>
      <c r="H395" s="40" t="s">
        <v>891</v>
      </c>
      <c r="I395" s="40"/>
      <c r="J395" s="40"/>
      <c r="K395" s="40">
        <v>1.0</v>
      </c>
      <c r="L395" s="40" t="s">
        <v>897</v>
      </c>
      <c r="M395" s="40"/>
    </row>
    <row r="396" ht="15.75" customHeight="1">
      <c r="A396" s="40" t="s">
        <v>1750</v>
      </c>
      <c r="B396" s="40" t="s">
        <v>1751</v>
      </c>
      <c r="C396" s="40" t="s">
        <v>1751</v>
      </c>
      <c r="D396" s="40" t="s">
        <v>879</v>
      </c>
      <c r="E396" s="40" t="s">
        <v>879</v>
      </c>
      <c r="F396" s="40" t="s">
        <v>904</v>
      </c>
      <c r="G396" s="40"/>
      <c r="H396" s="40" t="s">
        <v>891</v>
      </c>
      <c r="I396" s="40"/>
      <c r="J396" s="40"/>
      <c r="K396" s="40">
        <v>1.0</v>
      </c>
      <c r="L396" s="40" t="s">
        <v>897</v>
      </c>
      <c r="M396" s="40"/>
    </row>
    <row r="397" ht="15.75" customHeight="1">
      <c r="A397" s="40" t="s">
        <v>1752</v>
      </c>
      <c r="B397" s="40" t="s">
        <v>1753</v>
      </c>
      <c r="C397" s="40" t="s">
        <v>1753</v>
      </c>
      <c r="D397" s="40" t="s">
        <v>879</v>
      </c>
      <c r="E397" s="40" t="s">
        <v>879</v>
      </c>
      <c r="F397" s="40" t="s">
        <v>904</v>
      </c>
      <c r="G397" s="40"/>
      <c r="H397" s="40" t="s">
        <v>891</v>
      </c>
      <c r="I397" s="40"/>
      <c r="J397" s="40"/>
      <c r="K397" s="40">
        <v>1.0</v>
      </c>
      <c r="L397" s="40" t="s">
        <v>897</v>
      </c>
      <c r="M397" s="40"/>
    </row>
    <row r="398" ht="15.75" customHeight="1">
      <c r="A398" s="40" t="s">
        <v>1754</v>
      </c>
      <c r="B398" s="40" t="s">
        <v>1755</v>
      </c>
      <c r="C398" s="40" t="s">
        <v>1755</v>
      </c>
      <c r="D398" s="40" t="s">
        <v>879</v>
      </c>
      <c r="E398" s="40" t="s">
        <v>879</v>
      </c>
      <c r="F398" s="40" t="s">
        <v>879</v>
      </c>
      <c r="G398" s="40"/>
      <c r="H398" s="40" t="s">
        <v>891</v>
      </c>
      <c r="I398" s="40"/>
      <c r="J398" s="40"/>
      <c r="K398" s="40">
        <v>1.0</v>
      </c>
      <c r="L398" s="40" t="s">
        <v>892</v>
      </c>
      <c r="M398" s="40"/>
    </row>
    <row r="399" ht="15.75" customHeight="1">
      <c r="A399" s="40" t="s">
        <v>1756</v>
      </c>
      <c r="B399" s="40" t="s">
        <v>1757</v>
      </c>
      <c r="C399" s="40" t="s">
        <v>1757</v>
      </c>
      <c r="D399" s="40" t="s">
        <v>879</v>
      </c>
      <c r="E399" s="40" t="s">
        <v>879</v>
      </c>
      <c r="F399" s="40" t="s">
        <v>904</v>
      </c>
      <c r="G399" s="40"/>
      <c r="H399" s="40" t="s">
        <v>891</v>
      </c>
      <c r="I399" s="40"/>
      <c r="J399" s="40"/>
      <c r="K399" s="40">
        <v>1.0</v>
      </c>
      <c r="L399" s="40" t="s">
        <v>897</v>
      </c>
      <c r="M399" s="40"/>
    </row>
    <row r="400" ht="15.75" customHeight="1">
      <c r="A400" s="40" t="s">
        <v>1758</v>
      </c>
      <c r="B400" s="40" t="s">
        <v>1759</v>
      </c>
      <c r="C400" s="40" t="s">
        <v>1759</v>
      </c>
      <c r="D400" s="40" t="s">
        <v>879</v>
      </c>
      <c r="E400" s="40" t="s">
        <v>879</v>
      </c>
      <c r="F400" s="40" t="s">
        <v>904</v>
      </c>
      <c r="G400" s="40"/>
      <c r="H400" s="40" t="s">
        <v>891</v>
      </c>
      <c r="I400" s="40"/>
      <c r="J400" s="40"/>
      <c r="K400" s="40">
        <v>2.0</v>
      </c>
      <c r="L400" s="40" t="s">
        <v>897</v>
      </c>
      <c r="M400" s="40"/>
    </row>
    <row r="401" ht="15.75" customHeight="1">
      <c r="A401" s="40" t="s">
        <v>1760</v>
      </c>
      <c r="B401" s="40" t="s">
        <v>1761</v>
      </c>
      <c r="C401" s="40" t="s">
        <v>1761</v>
      </c>
      <c r="D401" s="40" t="s">
        <v>879</v>
      </c>
      <c r="E401" s="40" t="s">
        <v>879</v>
      </c>
      <c r="F401" s="40" t="s">
        <v>904</v>
      </c>
      <c r="G401" s="40"/>
      <c r="H401" s="40" t="s">
        <v>891</v>
      </c>
      <c r="I401" s="40"/>
      <c r="J401" s="40"/>
      <c r="K401" s="40">
        <v>1.0</v>
      </c>
      <c r="L401" s="40" t="s">
        <v>897</v>
      </c>
      <c r="M401" s="40"/>
    </row>
    <row r="402" ht="15.75" customHeight="1">
      <c r="A402" s="40" t="s">
        <v>1762</v>
      </c>
      <c r="B402" s="40" t="s">
        <v>1763</v>
      </c>
      <c r="C402" s="40" t="s">
        <v>1763</v>
      </c>
      <c r="D402" s="40" t="s">
        <v>879</v>
      </c>
      <c r="E402" s="40" t="s">
        <v>879</v>
      </c>
      <c r="F402" s="40" t="s">
        <v>879</v>
      </c>
      <c r="G402" s="40"/>
      <c r="H402" s="40" t="s">
        <v>891</v>
      </c>
      <c r="I402" s="40"/>
      <c r="J402" s="40"/>
      <c r="K402" s="40">
        <v>1.0</v>
      </c>
      <c r="L402" s="40" t="s">
        <v>892</v>
      </c>
      <c r="M402" s="40"/>
    </row>
    <row r="403" ht="15.75" customHeight="1">
      <c r="A403" s="40" t="s">
        <v>1764</v>
      </c>
      <c r="B403" s="40" t="s">
        <v>1765</v>
      </c>
      <c r="C403" s="40" t="s">
        <v>1765</v>
      </c>
      <c r="D403" s="40" t="s">
        <v>879</v>
      </c>
      <c r="E403" s="40" t="s">
        <v>879</v>
      </c>
      <c r="F403" s="40" t="s">
        <v>904</v>
      </c>
      <c r="G403" s="40"/>
      <c r="H403" s="40" t="s">
        <v>891</v>
      </c>
      <c r="I403" s="40"/>
      <c r="J403" s="40"/>
      <c r="K403" s="40">
        <v>2.0</v>
      </c>
      <c r="L403" s="40" t="s">
        <v>897</v>
      </c>
      <c r="M403" s="40"/>
    </row>
    <row r="404" ht="15.75" customHeight="1">
      <c r="A404" s="40" t="s">
        <v>1766</v>
      </c>
      <c r="B404" s="40" t="s">
        <v>1767</v>
      </c>
      <c r="C404" s="40" t="s">
        <v>1767</v>
      </c>
      <c r="D404" s="40" t="s">
        <v>879</v>
      </c>
      <c r="E404" s="40" t="s">
        <v>879</v>
      </c>
      <c r="F404" s="40" t="s">
        <v>904</v>
      </c>
      <c r="G404" s="40"/>
      <c r="H404" s="40" t="s">
        <v>891</v>
      </c>
      <c r="I404" s="40"/>
      <c r="J404" s="40"/>
      <c r="K404" s="40">
        <v>4.0</v>
      </c>
      <c r="L404" s="40" t="s">
        <v>897</v>
      </c>
      <c r="M404" s="40"/>
    </row>
    <row r="405" ht="15.75" customHeight="1">
      <c r="A405" s="40" t="s">
        <v>1768</v>
      </c>
      <c r="B405" s="40" t="s">
        <v>1769</v>
      </c>
      <c r="C405" s="40" t="s">
        <v>1769</v>
      </c>
      <c r="D405" s="40" t="s">
        <v>879</v>
      </c>
      <c r="E405" s="40" t="s">
        <v>879</v>
      </c>
      <c r="F405" s="40" t="s">
        <v>904</v>
      </c>
      <c r="G405" s="40"/>
      <c r="H405" s="40" t="s">
        <v>891</v>
      </c>
      <c r="I405" s="40"/>
      <c r="J405" s="40"/>
      <c r="K405" s="40">
        <v>17.0</v>
      </c>
      <c r="L405" s="40" t="s">
        <v>897</v>
      </c>
      <c r="M405" s="40"/>
    </row>
    <row r="406" ht="15.75" customHeight="1">
      <c r="A406" s="40" t="s">
        <v>1770</v>
      </c>
      <c r="B406" s="40" t="s">
        <v>1771</v>
      </c>
      <c r="C406" s="40" t="s">
        <v>1771</v>
      </c>
      <c r="D406" s="40" t="s">
        <v>879</v>
      </c>
      <c r="E406" s="40" t="s">
        <v>879</v>
      </c>
      <c r="F406" s="40" t="s">
        <v>879</v>
      </c>
      <c r="G406" s="40"/>
      <c r="H406" s="40" t="s">
        <v>891</v>
      </c>
      <c r="I406" s="40"/>
      <c r="J406" s="40"/>
      <c r="K406" s="40">
        <v>1.0</v>
      </c>
      <c r="L406" s="40" t="s">
        <v>892</v>
      </c>
      <c r="M406" s="40"/>
    </row>
    <row r="407" ht="15.75" customHeight="1">
      <c r="A407" s="40" t="s">
        <v>1772</v>
      </c>
      <c r="B407" s="40" t="s">
        <v>1773</v>
      </c>
      <c r="C407" s="40" t="s">
        <v>1773</v>
      </c>
      <c r="D407" s="40" t="s">
        <v>879</v>
      </c>
      <c r="E407" s="40" t="s">
        <v>879</v>
      </c>
      <c r="F407" s="40" t="s">
        <v>904</v>
      </c>
      <c r="G407" s="40"/>
      <c r="H407" s="40" t="s">
        <v>891</v>
      </c>
      <c r="I407" s="40"/>
      <c r="J407" s="40"/>
      <c r="K407" s="40">
        <v>4.0</v>
      </c>
      <c r="L407" s="40" t="s">
        <v>897</v>
      </c>
      <c r="M407" s="40"/>
    </row>
    <row r="408" ht="15.75" customHeight="1">
      <c r="A408" s="40" t="s">
        <v>1774</v>
      </c>
      <c r="B408" s="40" t="s">
        <v>1775</v>
      </c>
      <c r="C408" s="40" t="s">
        <v>1775</v>
      </c>
      <c r="D408" s="40" t="s">
        <v>879</v>
      </c>
      <c r="E408" s="40" t="s">
        <v>879</v>
      </c>
      <c r="F408" s="40" t="s">
        <v>904</v>
      </c>
      <c r="G408" s="40"/>
      <c r="H408" s="40" t="s">
        <v>891</v>
      </c>
      <c r="I408" s="40"/>
      <c r="J408" s="40"/>
      <c r="K408" s="40">
        <v>1.0</v>
      </c>
      <c r="L408" s="40" t="s">
        <v>897</v>
      </c>
      <c r="M408" s="40"/>
    </row>
    <row r="409" ht="15.75" customHeight="1">
      <c r="A409" s="40" t="s">
        <v>1776</v>
      </c>
      <c r="B409" s="40" t="s">
        <v>1777</v>
      </c>
      <c r="C409" s="40" t="s">
        <v>1777</v>
      </c>
      <c r="D409" s="40" t="s">
        <v>879</v>
      </c>
      <c r="E409" s="40" t="s">
        <v>879</v>
      </c>
      <c r="F409" s="40" t="s">
        <v>879</v>
      </c>
      <c r="G409" s="40"/>
      <c r="H409" s="40" t="s">
        <v>891</v>
      </c>
      <c r="I409" s="40"/>
      <c r="J409" s="40"/>
      <c r="K409" s="40">
        <v>45.0</v>
      </c>
      <c r="L409" s="40" t="s">
        <v>892</v>
      </c>
      <c r="M409" s="40"/>
    </row>
    <row r="410" ht="15.75" customHeight="1">
      <c r="A410" s="40" t="s">
        <v>1778</v>
      </c>
      <c r="B410" s="40" t="s">
        <v>1779</v>
      </c>
      <c r="C410" s="40" t="s">
        <v>1779</v>
      </c>
      <c r="D410" s="40" t="s">
        <v>879</v>
      </c>
      <c r="E410" s="40" t="s">
        <v>879</v>
      </c>
      <c r="F410" s="40" t="s">
        <v>904</v>
      </c>
      <c r="G410" s="40"/>
      <c r="H410" s="40" t="s">
        <v>891</v>
      </c>
      <c r="I410" s="40"/>
      <c r="J410" s="40"/>
      <c r="K410" s="40">
        <v>1.0</v>
      </c>
      <c r="L410" s="40" t="s">
        <v>897</v>
      </c>
      <c r="M410" s="40"/>
    </row>
    <row r="411" ht="15.75" customHeight="1">
      <c r="A411" s="40" t="s">
        <v>1780</v>
      </c>
      <c r="B411" s="40" t="s">
        <v>1781</v>
      </c>
      <c r="C411" s="40" t="s">
        <v>1781</v>
      </c>
      <c r="D411" s="40" t="s">
        <v>879</v>
      </c>
      <c r="E411" s="40" t="s">
        <v>879</v>
      </c>
      <c r="F411" s="40" t="s">
        <v>904</v>
      </c>
      <c r="G411" s="40"/>
      <c r="H411" s="40" t="s">
        <v>891</v>
      </c>
      <c r="I411" s="40"/>
      <c r="J411" s="40"/>
      <c r="K411" s="40">
        <v>4.0</v>
      </c>
      <c r="L411" s="40" t="s">
        <v>897</v>
      </c>
      <c r="M411" s="40"/>
    </row>
    <row r="412" ht="15.75" customHeight="1">
      <c r="A412" s="40" t="s">
        <v>1782</v>
      </c>
      <c r="B412" s="40" t="s">
        <v>1783</v>
      </c>
      <c r="C412" s="40" t="s">
        <v>1783</v>
      </c>
      <c r="D412" s="40" t="s">
        <v>879</v>
      </c>
      <c r="E412" s="40" t="s">
        <v>879</v>
      </c>
      <c r="F412" s="40" t="s">
        <v>904</v>
      </c>
      <c r="G412" s="40"/>
      <c r="H412" s="40" t="s">
        <v>891</v>
      </c>
      <c r="I412" s="40"/>
      <c r="J412" s="40"/>
      <c r="K412" s="40">
        <v>2.0</v>
      </c>
      <c r="L412" s="40" t="s">
        <v>897</v>
      </c>
      <c r="M412" s="40"/>
    </row>
    <row r="413" ht="15.75" customHeight="1">
      <c r="A413" s="40" t="s">
        <v>1784</v>
      </c>
      <c r="B413" s="40" t="s">
        <v>1785</v>
      </c>
      <c r="C413" s="40" t="s">
        <v>1785</v>
      </c>
      <c r="D413" s="40" t="s">
        <v>879</v>
      </c>
      <c r="E413" s="40" t="s">
        <v>879</v>
      </c>
      <c r="F413" s="40" t="s">
        <v>904</v>
      </c>
      <c r="G413" s="40"/>
      <c r="H413" s="40" t="s">
        <v>891</v>
      </c>
      <c r="I413" s="40"/>
      <c r="J413" s="40"/>
      <c r="K413" s="40">
        <v>3.0</v>
      </c>
      <c r="L413" s="40" t="s">
        <v>897</v>
      </c>
      <c r="M413" s="40"/>
    </row>
    <row r="414" ht="15.75" customHeight="1">
      <c r="A414" s="40" t="s">
        <v>1786</v>
      </c>
      <c r="B414" s="40" t="s">
        <v>1787</v>
      </c>
      <c r="C414" s="40" t="s">
        <v>1787</v>
      </c>
      <c r="D414" s="40" t="s">
        <v>879</v>
      </c>
      <c r="E414" s="40" t="s">
        <v>879</v>
      </c>
      <c r="F414" s="40" t="s">
        <v>879</v>
      </c>
      <c r="G414" s="40"/>
      <c r="H414" s="40" t="s">
        <v>891</v>
      </c>
      <c r="I414" s="40"/>
      <c r="J414" s="40"/>
      <c r="K414" s="40">
        <v>1.0</v>
      </c>
      <c r="L414" s="40" t="s">
        <v>897</v>
      </c>
      <c r="M414" s="40"/>
    </row>
    <row r="415" ht="15.75" customHeight="1">
      <c r="A415" s="40" t="s">
        <v>1788</v>
      </c>
      <c r="B415" s="40" t="s">
        <v>1789</v>
      </c>
      <c r="C415" s="40" t="s">
        <v>1789</v>
      </c>
      <c r="D415" s="40" t="s">
        <v>879</v>
      </c>
      <c r="E415" s="40" t="s">
        <v>879</v>
      </c>
      <c r="F415" s="40" t="s">
        <v>904</v>
      </c>
      <c r="G415" s="40"/>
      <c r="H415" s="40" t="s">
        <v>891</v>
      </c>
      <c r="I415" s="40"/>
      <c r="J415" s="40"/>
      <c r="K415" s="40">
        <v>2.0</v>
      </c>
      <c r="L415" s="40" t="s">
        <v>897</v>
      </c>
      <c r="M415" s="40"/>
    </row>
    <row r="416" ht="15.75" customHeight="1">
      <c r="A416" s="40" t="s">
        <v>1790</v>
      </c>
      <c r="B416" s="40" t="s">
        <v>1791</v>
      </c>
      <c r="C416" s="40" t="s">
        <v>1791</v>
      </c>
      <c r="D416" s="40" t="s">
        <v>879</v>
      </c>
      <c r="E416" s="40" t="s">
        <v>879</v>
      </c>
      <c r="F416" s="40" t="s">
        <v>879</v>
      </c>
      <c r="G416" s="40"/>
      <c r="H416" s="40" t="s">
        <v>891</v>
      </c>
      <c r="I416" s="40"/>
      <c r="J416" s="40"/>
      <c r="K416" s="40">
        <v>1.0</v>
      </c>
      <c r="L416" s="40" t="s">
        <v>892</v>
      </c>
      <c r="M416" s="40"/>
    </row>
    <row r="417" ht="15.75" customHeight="1">
      <c r="A417" s="40" t="s">
        <v>1792</v>
      </c>
      <c r="B417" s="40" t="s">
        <v>1793</v>
      </c>
      <c r="C417" s="40" t="s">
        <v>1793</v>
      </c>
      <c r="D417" s="40" t="s">
        <v>879</v>
      </c>
      <c r="E417" s="40" t="s">
        <v>879</v>
      </c>
      <c r="F417" s="40" t="s">
        <v>904</v>
      </c>
      <c r="G417" s="40"/>
      <c r="H417" s="40" t="s">
        <v>891</v>
      </c>
      <c r="I417" s="40"/>
      <c r="J417" s="40"/>
      <c r="K417" s="40">
        <v>8.0</v>
      </c>
      <c r="L417" s="40" t="s">
        <v>897</v>
      </c>
      <c r="M417" s="40"/>
    </row>
    <row r="418" ht="15.75" customHeight="1">
      <c r="A418" s="40" t="s">
        <v>1794</v>
      </c>
      <c r="B418" s="40" t="s">
        <v>1795</v>
      </c>
      <c r="C418" s="40" t="s">
        <v>1795</v>
      </c>
      <c r="D418" s="40" t="s">
        <v>879</v>
      </c>
      <c r="E418" s="40" t="s">
        <v>879</v>
      </c>
      <c r="F418" s="40" t="s">
        <v>904</v>
      </c>
      <c r="G418" s="40"/>
      <c r="H418" s="40" t="s">
        <v>891</v>
      </c>
      <c r="I418" s="40"/>
      <c r="J418" s="40"/>
      <c r="K418" s="40">
        <v>2.0</v>
      </c>
      <c r="L418" s="40" t="s">
        <v>897</v>
      </c>
      <c r="M418" s="40"/>
    </row>
    <row r="419" ht="15.75" customHeight="1">
      <c r="A419" s="40" t="s">
        <v>1796</v>
      </c>
      <c r="B419" s="40" t="s">
        <v>1797</v>
      </c>
      <c r="C419" s="40" t="s">
        <v>1797</v>
      </c>
      <c r="D419" s="40" t="s">
        <v>879</v>
      </c>
      <c r="E419" s="40" t="s">
        <v>879</v>
      </c>
      <c r="F419" s="40" t="s">
        <v>879</v>
      </c>
      <c r="G419" s="40"/>
      <c r="H419" s="40" t="s">
        <v>891</v>
      </c>
      <c r="I419" s="40"/>
      <c r="J419" s="40"/>
      <c r="K419" s="40">
        <v>1.0</v>
      </c>
      <c r="L419" s="40" t="s">
        <v>897</v>
      </c>
      <c r="M419" s="40"/>
    </row>
    <row r="420" ht="15.75" customHeight="1">
      <c r="A420" s="40" t="s">
        <v>1798</v>
      </c>
      <c r="B420" s="40" t="s">
        <v>1799</v>
      </c>
      <c r="C420" s="40" t="s">
        <v>1799</v>
      </c>
      <c r="D420" s="40" t="s">
        <v>879</v>
      </c>
      <c r="E420" s="40" t="s">
        <v>879</v>
      </c>
      <c r="F420" s="40" t="s">
        <v>904</v>
      </c>
      <c r="G420" s="40"/>
      <c r="H420" s="40" t="s">
        <v>891</v>
      </c>
      <c r="I420" s="40"/>
      <c r="J420" s="40"/>
      <c r="K420" s="40">
        <v>4.0</v>
      </c>
      <c r="L420" s="40" t="s">
        <v>897</v>
      </c>
      <c r="M420" s="40"/>
    </row>
    <row r="421" ht="15.75" customHeight="1">
      <c r="A421" s="40" t="s">
        <v>1800</v>
      </c>
      <c r="B421" s="40" t="s">
        <v>1801</v>
      </c>
      <c r="C421" s="40" t="s">
        <v>1801</v>
      </c>
      <c r="D421" s="40" t="s">
        <v>879</v>
      </c>
      <c r="E421" s="40" t="s">
        <v>879</v>
      </c>
      <c r="F421" s="40" t="s">
        <v>904</v>
      </c>
      <c r="G421" s="40"/>
      <c r="H421" s="40" t="s">
        <v>891</v>
      </c>
      <c r="I421" s="40"/>
      <c r="J421" s="40"/>
      <c r="K421" s="40">
        <v>1.0</v>
      </c>
      <c r="L421" s="40" t="s">
        <v>897</v>
      </c>
      <c r="M421" s="40"/>
    </row>
    <row r="422" ht="15.75" customHeight="1">
      <c r="A422" s="40" t="s">
        <v>1802</v>
      </c>
      <c r="B422" s="40" t="s">
        <v>1803</v>
      </c>
      <c r="C422" s="40" t="s">
        <v>1803</v>
      </c>
      <c r="D422" s="40" t="s">
        <v>879</v>
      </c>
      <c r="E422" s="40" t="s">
        <v>879</v>
      </c>
      <c r="F422" s="40" t="s">
        <v>879</v>
      </c>
      <c r="G422" s="40"/>
      <c r="H422" s="40" t="s">
        <v>891</v>
      </c>
      <c r="I422" s="40"/>
      <c r="J422" s="40"/>
      <c r="K422" s="40">
        <v>1.0</v>
      </c>
      <c r="L422" s="40" t="s">
        <v>892</v>
      </c>
      <c r="M422" s="40"/>
    </row>
    <row r="423" ht="15.75" customHeight="1">
      <c r="A423" s="40" t="s">
        <v>1804</v>
      </c>
      <c r="B423" s="40" t="s">
        <v>1805</v>
      </c>
      <c r="C423" s="40" t="s">
        <v>1805</v>
      </c>
      <c r="D423" s="40" t="s">
        <v>879</v>
      </c>
      <c r="E423" s="40" t="s">
        <v>879</v>
      </c>
      <c r="F423" s="40" t="s">
        <v>904</v>
      </c>
      <c r="G423" s="40"/>
      <c r="H423" s="40" t="s">
        <v>891</v>
      </c>
      <c r="I423" s="40"/>
      <c r="J423" s="40"/>
      <c r="K423" s="40">
        <v>8.0</v>
      </c>
      <c r="L423" s="40" t="s">
        <v>897</v>
      </c>
      <c r="M423" s="40"/>
    </row>
    <row r="424" ht="15.75" customHeight="1">
      <c r="A424" s="40" t="s">
        <v>1806</v>
      </c>
      <c r="B424" s="40" t="s">
        <v>1807</v>
      </c>
      <c r="C424" s="40" t="s">
        <v>1807</v>
      </c>
      <c r="D424" s="40" t="s">
        <v>879</v>
      </c>
      <c r="E424" s="40" t="s">
        <v>879</v>
      </c>
      <c r="F424" s="40" t="s">
        <v>904</v>
      </c>
      <c r="G424" s="40"/>
      <c r="H424" s="40" t="s">
        <v>891</v>
      </c>
      <c r="I424" s="40"/>
      <c r="J424" s="40"/>
      <c r="K424" s="40">
        <v>4.0</v>
      </c>
      <c r="L424" s="40" t="s">
        <v>897</v>
      </c>
      <c r="M424" s="40"/>
    </row>
    <row r="425" ht="15.75" customHeight="1">
      <c r="A425" s="40" t="s">
        <v>1808</v>
      </c>
      <c r="B425" s="40" t="s">
        <v>1809</v>
      </c>
      <c r="C425" s="40" t="s">
        <v>1809</v>
      </c>
      <c r="D425" s="40" t="s">
        <v>879</v>
      </c>
      <c r="E425" s="40" t="s">
        <v>879</v>
      </c>
      <c r="F425" s="40" t="s">
        <v>904</v>
      </c>
      <c r="G425" s="40"/>
      <c r="H425" s="40" t="s">
        <v>891</v>
      </c>
      <c r="I425" s="40"/>
      <c r="J425" s="40"/>
      <c r="K425" s="40">
        <v>1.0</v>
      </c>
      <c r="L425" s="40" t="s">
        <v>897</v>
      </c>
      <c r="M425" s="40"/>
    </row>
    <row r="426" ht="15.75" customHeight="1">
      <c r="A426" s="40" t="s">
        <v>1810</v>
      </c>
      <c r="B426" s="40" t="s">
        <v>1811</v>
      </c>
      <c r="C426" s="40" t="s">
        <v>1811</v>
      </c>
      <c r="D426" s="40" t="s">
        <v>879</v>
      </c>
      <c r="E426" s="40" t="s">
        <v>879</v>
      </c>
      <c r="F426" s="40" t="s">
        <v>904</v>
      </c>
      <c r="G426" s="40"/>
      <c r="H426" s="40" t="s">
        <v>891</v>
      </c>
      <c r="I426" s="40"/>
      <c r="J426" s="40"/>
      <c r="K426" s="40">
        <v>2.0</v>
      </c>
      <c r="L426" s="40" t="s">
        <v>897</v>
      </c>
      <c r="M426" s="40"/>
    </row>
    <row r="427" ht="15.75" customHeight="1">
      <c r="A427" s="40" t="s">
        <v>1812</v>
      </c>
      <c r="B427" s="40" t="s">
        <v>1813</v>
      </c>
      <c r="C427" s="40" t="s">
        <v>1813</v>
      </c>
      <c r="D427" s="40" t="s">
        <v>879</v>
      </c>
      <c r="E427" s="40" t="s">
        <v>879</v>
      </c>
      <c r="F427" s="40" t="s">
        <v>904</v>
      </c>
      <c r="G427" s="40"/>
      <c r="H427" s="40" t="s">
        <v>891</v>
      </c>
      <c r="I427" s="40"/>
      <c r="J427" s="40"/>
      <c r="K427" s="40">
        <v>1.0</v>
      </c>
      <c r="L427" s="40" t="s">
        <v>897</v>
      </c>
      <c r="M427" s="40"/>
    </row>
    <row r="428" ht="15.75" customHeight="1">
      <c r="A428" s="40" t="s">
        <v>1814</v>
      </c>
      <c r="B428" s="40" t="s">
        <v>1815</v>
      </c>
      <c r="C428" s="40" t="s">
        <v>1815</v>
      </c>
      <c r="D428" s="40" t="s">
        <v>879</v>
      </c>
      <c r="E428" s="40" t="s">
        <v>879</v>
      </c>
      <c r="F428" s="40" t="s">
        <v>904</v>
      </c>
      <c r="G428" s="40"/>
      <c r="H428" s="40" t="s">
        <v>891</v>
      </c>
      <c r="I428" s="40"/>
      <c r="J428" s="40"/>
      <c r="K428" s="40">
        <v>5.0</v>
      </c>
      <c r="L428" s="40" t="s">
        <v>897</v>
      </c>
      <c r="M428" s="40"/>
    </row>
    <row r="429" ht="15.75" customHeight="1">
      <c r="A429" s="40" t="s">
        <v>1816</v>
      </c>
      <c r="B429" s="40" t="s">
        <v>1817</v>
      </c>
      <c r="C429" s="40" t="s">
        <v>1817</v>
      </c>
      <c r="D429" s="40" t="s">
        <v>879</v>
      </c>
      <c r="E429" s="40" t="s">
        <v>879</v>
      </c>
      <c r="F429" s="40" t="s">
        <v>879</v>
      </c>
      <c r="G429" s="40"/>
      <c r="H429" s="40" t="s">
        <v>891</v>
      </c>
      <c r="I429" s="40"/>
      <c r="J429" s="40"/>
      <c r="K429" s="40">
        <v>1.0</v>
      </c>
      <c r="L429" s="40" t="s">
        <v>892</v>
      </c>
      <c r="M429" s="40"/>
    </row>
    <row r="430" ht="15.75" customHeight="1">
      <c r="A430" s="40" t="s">
        <v>1818</v>
      </c>
      <c r="B430" s="40" t="s">
        <v>1819</v>
      </c>
      <c r="C430" s="40" t="s">
        <v>1819</v>
      </c>
      <c r="D430" s="40" t="s">
        <v>879</v>
      </c>
      <c r="E430" s="40" t="s">
        <v>879</v>
      </c>
      <c r="F430" s="40" t="s">
        <v>879</v>
      </c>
      <c r="G430" s="40"/>
      <c r="H430" s="40" t="s">
        <v>891</v>
      </c>
      <c r="I430" s="40"/>
      <c r="J430" s="40"/>
      <c r="K430" s="40">
        <v>1.0</v>
      </c>
      <c r="L430" s="40" t="s">
        <v>922</v>
      </c>
      <c r="M430" s="40"/>
    </row>
    <row r="431" ht="15.75" customHeight="1">
      <c r="A431" s="40" t="s">
        <v>1820</v>
      </c>
      <c r="B431" s="40" t="s">
        <v>1821</v>
      </c>
      <c r="C431" s="40" t="s">
        <v>1821</v>
      </c>
      <c r="D431" s="40" t="s">
        <v>879</v>
      </c>
      <c r="E431" s="40" t="s">
        <v>879</v>
      </c>
      <c r="F431" s="40" t="s">
        <v>879</v>
      </c>
      <c r="G431" s="40"/>
      <c r="H431" s="40" t="s">
        <v>891</v>
      </c>
      <c r="I431" s="40"/>
      <c r="J431" s="40"/>
      <c r="K431" s="40">
        <v>1.0</v>
      </c>
      <c r="L431" s="40" t="s">
        <v>1201</v>
      </c>
      <c r="M431" s="40"/>
    </row>
    <row r="432" ht="15.75" customHeight="1">
      <c r="A432" s="40" t="s">
        <v>1822</v>
      </c>
      <c r="B432" s="40" t="s">
        <v>1823</v>
      </c>
      <c r="C432" s="40" t="s">
        <v>1823</v>
      </c>
      <c r="D432" s="40" t="s">
        <v>879</v>
      </c>
      <c r="E432" s="40" t="s">
        <v>879</v>
      </c>
      <c r="F432" s="40" t="s">
        <v>904</v>
      </c>
      <c r="G432" s="40"/>
      <c r="H432" s="40" t="s">
        <v>891</v>
      </c>
      <c r="I432" s="40"/>
      <c r="J432" s="40"/>
      <c r="K432" s="40">
        <v>2.0</v>
      </c>
      <c r="L432" s="40" t="s">
        <v>897</v>
      </c>
      <c r="M432" s="40"/>
    </row>
    <row r="433" ht="15.75" customHeight="1">
      <c r="A433" s="40" t="s">
        <v>1824</v>
      </c>
      <c r="B433" s="40" t="s">
        <v>1825</v>
      </c>
      <c r="C433" s="40" t="s">
        <v>1825</v>
      </c>
      <c r="D433" s="40" t="s">
        <v>879</v>
      </c>
      <c r="E433" s="40" t="s">
        <v>879</v>
      </c>
      <c r="F433" s="40" t="s">
        <v>904</v>
      </c>
      <c r="G433" s="40"/>
      <c r="H433" s="40" t="s">
        <v>891</v>
      </c>
      <c r="I433" s="40"/>
      <c r="J433" s="40"/>
      <c r="K433" s="40">
        <v>1.0</v>
      </c>
      <c r="L433" s="40" t="s">
        <v>897</v>
      </c>
      <c r="M433" s="40"/>
    </row>
    <row r="434" ht="15.75" customHeight="1">
      <c r="A434" s="40" t="s">
        <v>1826</v>
      </c>
      <c r="B434" s="40" t="s">
        <v>1827</v>
      </c>
      <c r="C434" s="40" t="s">
        <v>1827</v>
      </c>
      <c r="D434" s="40" t="s">
        <v>879</v>
      </c>
      <c r="E434" s="40" t="s">
        <v>879</v>
      </c>
      <c r="F434" s="40" t="s">
        <v>904</v>
      </c>
      <c r="G434" s="40"/>
      <c r="H434" s="40" t="s">
        <v>891</v>
      </c>
      <c r="I434" s="40"/>
      <c r="J434" s="40"/>
      <c r="K434" s="40">
        <v>1.0</v>
      </c>
      <c r="L434" s="40" t="s">
        <v>897</v>
      </c>
      <c r="M434" s="40"/>
    </row>
    <row r="435" ht="15.75" customHeight="1">
      <c r="A435" s="40" t="s">
        <v>1828</v>
      </c>
      <c r="B435" s="40" t="s">
        <v>1829</v>
      </c>
      <c r="C435" s="40" t="s">
        <v>1829</v>
      </c>
      <c r="D435" s="40" t="s">
        <v>879</v>
      </c>
      <c r="E435" s="40" t="s">
        <v>879</v>
      </c>
      <c r="F435" s="40" t="s">
        <v>904</v>
      </c>
      <c r="G435" s="40"/>
      <c r="H435" s="40" t="s">
        <v>891</v>
      </c>
      <c r="I435" s="40"/>
      <c r="J435" s="40"/>
      <c r="K435" s="40">
        <v>1.0</v>
      </c>
      <c r="L435" s="40" t="s">
        <v>897</v>
      </c>
      <c r="M435" s="40"/>
    </row>
    <row r="436" ht="15.75" customHeight="1">
      <c r="A436" s="40" t="s">
        <v>1830</v>
      </c>
      <c r="B436" s="40" t="s">
        <v>1831</v>
      </c>
      <c r="C436" s="40" t="s">
        <v>1831</v>
      </c>
      <c r="D436" s="40" t="s">
        <v>879</v>
      </c>
      <c r="E436" s="40" t="s">
        <v>879</v>
      </c>
      <c r="F436" s="40" t="s">
        <v>879</v>
      </c>
      <c r="G436" s="40"/>
      <c r="H436" s="40" t="s">
        <v>891</v>
      </c>
      <c r="I436" s="40"/>
      <c r="J436" s="40"/>
      <c r="K436" s="40">
        <v>1.0</v>
      </c>
      <c r="L436" s="40" t="s">
        <v>897</v>
      </c>
      <c r="M436" s="40"/>
    </row>
    <row r="437" ht="15.75" customHeight="1">
      <c r="A437" s="40" t="s">
        <v>1832</v>
      </c>
      <c r="B437" s="40" t="s">
        <v>1833</v>
      </c>
      <c r="C437" s="40" t="s">
        <v>1833</v>
      </c>
      <c r="D437" s="40" t="s">
        <v>879</v>
      </c>
      <c r="E437" s="40" t="s">
        <v>879</v>
      </c>
      <c r="F437" s="40" t="s">
        <v>879</v>
      </c>
      <c r="G437" s="40"/>
      <c r="H437" s="40" t="s">
        <v>891</v>
      </c>
      <c r="I437" s="40"/>
      <c r="J437" s="40"/>
      <c r="K437" s="40">
        <v>1.0</v>
      </c>
      <c r="L437" s="40" t="s">
        <v>897</v>
      </c>
      <c r="M437" s="40"/>
    </row>
    <row r="438" ht="15.75" customHeight="1">
      <c r="A438" s="40" t="s">
        <v>1834</v>
      </c>
      <c r="B438" s="40" t="s">
        <v>1835</v>
      </c>
      <c r="C438" s="40" t="s">
        <v>1835</v>
      </c>
      <c r="D438" s="40" t="s">
        <v>879</v>
      </c>
      <c r="E438" s="40" t="s">
        <v>879</v>
      </c>
      <c r="F438" s="40" t="s">
        <v>879</v>
      </c>
      <c r="G438" s="40"/>
      <c r="H438" s="40" t="s">
        <v>891</v>
      </c>
      <c r="I438" s="40"/>
      <c r="J438" s="40"/>
      <c r="K438" s="40">
        <v>1.0</v>
      </c>
      <c r="L438" s="40" t="s">
        <v>892</v>
      </c>
      <c r="M438" s="40"/>
    </row>
    <row r="439" ht="15.75" customHeight="1">
      <c r="A439" s="40" t="s">
        <v>1836</v>
      </c>
      <c r="B439" s="40" t="s">
        <v>1837</v>
      </c>
      <c r="C439" s="40" t="s">
        <v>1837</v>
      </c>
      <c r="D439" s="40" t="s">
        <v>879</v>
      </c>
      <c r="E439" s="40" t="s">
        <v>879</v>
      </c>
      <c r="F439" s="40" t="s">
        <v>879</v>
      </c>
      <c r="G439" s="40"/>
      <c r="H439" s="40" t="s">
        <v>891</v>
      </c>
      <c r="I439" s="40"/>
      <c r="J439" s="40"/>
      <c r="K439" s="40">
        <v>2.0</v>
      </c>
      <c r="L439" s="40" t="s">
        <v>897</v>
      </c>
      <c r="M439" s="40"/>
    </row>
    <row r="440" ht="15.75" customHeight="1">
      <c r="A440" s="40" t="s">
        <v>1838</v>
      </c>
      <c r="B440" s="40" t="s">
        <v>1839</v>
      </c>
      <c r="C440" s="40" t="s">
        <v>1839</v>
      </c>
      <c r="D440" s="40" t="s">
        <v>879</v>
      </c>
      <c r="E440" s="40" t="s">
        <v>879</v>
      </c>
      <c r="F440" s="40" t="s">
        <v>879</v>
      </c>
      <c r="G440" s="40"/>
      <c r="H440" s="40" t="s">
        <v>891</v>
      </c>
      <c r="I440" s="40"/>
      <c r="J440" s="40"/>
      <c r="K440" s="40">
        <v>1.0</v>
      </c>
      <c r="L440" s="40" t="s">
        <v>892</v>
      </c>
      <c r="M440" s="40"/>
    </row>
    <row r="441" ht="15.75" customHeight="1">
      <c r="A441" s="40" t="s">
        <v>1840</v>
      </c>
      <c r="B441" s="40" t="s">
        <v>1841</v>
      </c>
      <c r="C441" s="40" t="s">
        <v>1841</v>
      </c>
      <c r="D441" s="40" t="s">
        <v>879</v>
      </c>
      <c r="E441" s="40" t="s">
        <v>879</v>
      </c>
      <c r="F441" s="40" t="s">
        <v>879</v>
      </c>
      <c r="G441" s="40"/>
      <c r="H441" s="40" t="s">
        <v>891</v>
      </c>
      <c r="I441" s="40"/>
      <c r="J441" s="40"/>
      <c r="K441" s="40">
        <v>1.0</v>
      </c>
      <c r="L441" s="40" t="s">
        <v>897</v>
      </c>
      <c r="M441" s="40"/>
    </row>
    <row r="442" ht="15.75" customHeight="1">
      <c r="A442" s="40" t="s">
        <v>1842</v>
      </c>
      <c r="B442" s="40" t="s">
        <v>1843</v>
      </c>
      <c r="C442" s="40" t="s">
        <v>1843</v>
      </c>
      <c r="D442" s="40" t="s">
        <v>879</v>
      </c>
      <c r="E442" s="40" t="s">
        <v>879</v>
      </c>
      <c r="F442" s="40" t="s">
        <v>879</v>
      </c>
      <c r="G442" s="40"/>
      <c r="H442" s="40" t="s">
        <v>891</v>
      </c>
      <c r="I442" s="40"/>
      <c r="J442" s="40"/>
      <c r="K442" s="40">
        <v>1.0</v>
      </c>
      <c r="L442" s="40" t="s">
        <v>897</v>
      </c>
      <c r="M442" s="40"/>
    </row>
    <row r="443" ht="15.75" customHeight="1">
      <c r="A443" s="40" t="s">
        <v>1844</v>
      </c>
      <c r="B443" s="40" t="s">
        <v>1845</v>
      </c>
      <c r="C443" s="40" t="s">
        <v>1845</v>
      </c>
      <c r="D443" s="40" t="s">
        <v>879</v>
      </c>
      <c r="E443" s="40" t="s">
        <v>879</v>
      </c>
      <c r="F443" s="40" t="s">
        <v>879</v>
      </c>
      <c r="G443" s="40"/>
      <c r="H443" s="40" t="s">
        <v>891</v>
      </c>
      <c r="I443" s="40"/>
      <c r="J443" s="40"/>
      <c r="K443" s="40">
        <v>1.0</v>
      </c>
      <c r="L443" s="40" t="s">
        <v>897</v>
      </c>
      <c r="M443" s="40"/>
    </row>
    <row r="444" ht="15.75" customHeight="1">
      <c r="A444" s="40" t="s">
        <v>1846</v>
      </c>
      <c r="B444" s="40" t="s">
        <v>1847</v>
      </c>
      <c r="C444" s="40" t="s">
        <v>1847</v>
      </c>
      <c r="D444" s="40" t="s">
        <v>879</v>
      </c>
      <c r="E444" s="40" t="s">
        <v>879</v>
      </c>
      <c r="F444" s="40" t="s">
        <v>879</v>
      </c>
      <c r="G444" s="40"/>
      <c r="H444" s="40" t="s">
        <v>891</v>
      </c>
      <c r="I444" s="40"/>
      <c r="J444" s="40"/>
      <c r="K444" s="40">
        <v>1.0</v>
      </c>
      <c r="L444" s="40" t="s">
        <v>897</v>
      </c>
      <c r="M444" s="40"/>
    </row>
    <row r="445" ht="15.75" customHeight="1">
      <c r="A445" s="40" t="s">
        <v>1848</v>
      </c>
      <c r="B445" s="40" t="s">
        <v>1849</v>
      </c>
      <c r="C445" s="40" t="s">
        <v>1849</v>
      </c>
      <c r="D445" s="40" t="s">
        <v>879</v>
      </c>
      <c r="E445" s="40" t="s">
        <v>879</v>
      </c>
      <c r="F445" s="40" t="s">
        <v>879</v>
      </c>
      <c r="G445" s="40"/>
      <c r="H445" s="40" t="s">
        <v>891</v>
      </c>
      <c r="I445" s="40"/>
      <c r="J445" s="40"/>
      <c r="K445" s="40">
        <v>1.0</v>
      </c>
      <c r="L445" s="40" t="s">
        <v>897</v>
      </c>
      <c r="M445" s="40"/>
    </row>
    <row r="446" ht="15.75" customHeight="1">
      <c r="A446" s="40" t="s">
        <v>1850</v>
      </c>
      <c r="B446" s="40" t="s">
        <v>1851</v>
      </c>
      <c r="C446" s="40" t="s">
        <v>1851</v>
      </c>
      <c r="D446" s="40" t="s">
        <v>879</v>
      </c>
      <c r="E446" s="40" t="s">
        <v>879</v>
      </c>
      <c r="F446" s="40" t="s">
        <v>879</v>
      </c>
      <c r="G446" s="40"/>
      <c r="H446" s="40" t="s">
        <v>891</v>
      </c>
      <c r="I446" s="40"/>
      <c r="J446" s="40"/>
      <c r="K446" s="40">
        <v>1.0</v>
      </c>
      <c r="L446" s="40" t="s">
        <v>892</v>
      </c>
      <c r="M446" s="40"/>
    </row>
    <row r="447" ht="15.75" customHeight="1">
      <c r="A447" s="40" t="s">
        <v>1852</v>
      </c>
      <c r="B447" s="40" t="s">
        <v>1853</v>
      </c>
      <c r="C447" s="40" t="s">
        <v>1853</v>
      </c>
      <c r="D447" s="40" t="s">
        <v>879</v>
      </c>
      <c r="E447" s="40" t="s">
        <v>879</v>
      </c>
      <c r="F447" s="40" t="s">
        <v>879</v>
      </c>
      <c r="G447" s="40"/>
      <c r="H447" s="40" t="s">
        <v>891</v>
      </c>
      <c r="I447" s="40"/>
      <c r="J447" s="40"/>
      <c r="K447" s="40">
        <v>1.0</v>
      </c>
      <c r="L447" s="40" t="s">
        <v>897</v>
      </c>
      <c r="M447" s="40"/>
    </row>
    <row r="448" ht="15.75" customHeight="1">
      <c r="A448" s="40" t="s">
        <v>1854</v>
      </c>
      <c r="B448" s="40" t="s">
        <v>1855</v>
      </c>
      <c r="C448" s="40" t="s">
        <v>1855</v>
      </c>
      <c r="D448" s="40" t="s">
        <v>879</v>
      </c>
      <c r="E448" s="40" t="s">
        <v>879</v>
      </c>
      <c r="F448" s="40" t="s">
        <v>879</v>
      </c>
      <c r="G448" s="40"/>
      <c r="H448" s="40" t="s">
        <v>891</v>
      </c>
      <c r="I448" s="40"/>
      <c r="J448" s="40"/>
      <c r="K448" s="40">
        <v>1.0</v>
      </c>
      <c r="L448" s="40" t="s">
        <v>897</v>
      </c>
      <c r="M448" s="40"/>
    </row>
    <row r="449" ht="15.75" customHeight="1">
      <c r="A449" s="40" t="s">
        <v>1856</v>
      </c>
      <c r="B449" s="40" t="s">
        <v>1857</v>
      </c>
      <c r="C449" s="40" t="s">
        <v>1857</v>
      </c>
      <c r="D449" s="40" t="s">
        <v>879</v>
      </c>
      <c r="E449" s="40" t="s">
        <v>879</v>
      </c>
      <c r="F449" s="40" t="s">
        <v>879</v>
      </c>
      <c r="G449" s="40"/>
      <c r="H449" s="40" t="s">
        <v>891</v>
      </c>
      <c r="I449" s="40"/>
      <c r="J449" s="40"/>
      <c r="K449" s="40">
        <v>1.0</v>
      </c>
      <c r="L449" s="40" t="s">
        <v>897</v>
      </c>
      <c r="M449" s="40"/>
    </row>
    <row r="450" ht="15.75" customHeight="1">
      <c r="A450" s="40" t="s">
        <v>1858</v>
      </c>
      <c r="B450" s="40" t="s">
        <v>1859</v>
      </c>
      <c r="C450" s="40" t="s">
        <v>1859</v>
      </c>
      <c r="D450" s="40" t="s">
        <v>879</v>
      </c>
      <c r="E450" s="40" t="s">
        <v>879</v>
      </c>
      <c r="F450" s="40" t="s">
        <v>879</v>
      </c>
      <c r="G450" s="40"/>
      <c r="H450" s="40" t="s">
        <v>891</v>
      </c>
      <c r="I450" s="40"/>
      <c r="J450" s="40"/>
      <c r="K450" s="40">
        <v>1.0</v>
      </c>
      <c r="L450" s="40" t="s">
        <v>897</v>
      </c>
      <c r="M450" s="40"/>
    </row>
    <row r="451" ht="15.75" customHeight="1">
      <c r="A451" s="40" t="s">
        <v>1860</v>
      </c>
      <c r="B451" s="40" t="s">
        <v>1861</v>
      </c>
      <c r="C451" s="40" t="s">
        <v>1861</v>
      </c>
      <c r="D451" s="40" t="s">
        <v>879</v>
      </c>
      <c r="E451" s="40" t="s">
        <v>879</v>
      </c>
      <c r="F451" s="40" t="s">
        <v>879</v>
      </c>
      <c r="G451" s="40"/>
      <c r="H451" s="40" t="s">
        <v>891</v>
      </c>
      <c r="I451" s="40"/>
      <c r="J451" s="40"/>
      <c r="K451" s="40">
        <v>1.0</v>
      </c>
      <c r="L451" s="40" t="s">
        <v>897</v>
      </c>
      <c r="M451" s="40"/>
    </row>
    <row r="452" ht="15.75" customHeight="1">
      <c r="A452" s="40" t="s">
        <v>1862</v>
      </c>
      <c r="B452" s="40" t="s">
        <v>1863</v>
      </c>
      <c r="C452" s="40" t="s">
        <v>1863</v>
      </c>
      <c r="D452" s="40" t="s">
        <v>879</v>
      </c>
      <c r="E452" s="40" t="s">
        <v>879</v>
      </c>
      <c r="F452" s="40" t="s">
        <v>879</v>
      </c>
      <c r="G452" s="40"/>
      <c r="H452" s="40" t="s">
        <v>891</v>
      </c>
      <c r="I452" s="40"/>
      <c r="J452" s="40"/>
      <c r="K452" s="40">
        <v>1.0</v>
      </c>
      <c r="L452" s="40" t="s">
        <v>897</v>
      </c>
      <c r="M452" s="40"/>
    </row>
    <row r="453" ht="15.75" customHeight="1">
      <c r="A453" s="40" t="s">
        <v>1864</v>
      </c>
      <c r="B453" s="40" t="s">
        <v>1865</v>
      </c>
      <c r="C453" s="40" t="s">
        <v>1865</v>
      </c>
      <c r="D453" s="40" t="s">
        <v>879</v>
      </c>
      <c r="E453" s="40" t="s">
        <v>879</v>
      </c>
      <c r="F453" s="40" t="s">
        <v>879</v>
      </c>
      <c r="G453" s="40"/>
      <c r="H453" s="40" t="s">
        <v>891</v>
      </c>
      <c r="I453" s="40"/>
      <c r="J453" s="40"/>
      <c r="K453" s="40">
        <v>1.0</v>
      </c>
      <c r="L453" s="40" t="s">
        <v>897</v>
      </c>
      <c r="M453" s="40"/>
    </row>
    <row r="454" ht="15.75" customHeight="1">
      <c r="A454" s="40" t="s">
        <v>1866</v>
      </c>
      <c r="B454" s="40" t="s">
        <v>1867</v>
      </c>
      <c r="C454" s="40" t="s">
        <v>1867</v>
      </c>
      <c r="D454" s="40" t="s">
        <v>879</v>
      </c>
      <c r="E454" s="40" t="s">
        <v>879</v>
      </c>
      <c r="F454" s="40" t="s">
        <v>879</v>
      </c>
      <c r="G454" s="40"/>
      <c r="H454" s="40" t="s">
        <v>891</v>
      </c>
      <c r="I454" s="40"/>
      <c r="J454" s="40"/>
      <c r="K454" s="40">
        <v>1.0</v>
      </c>
      <c r="L454" s="40" t="s">
        <v>897</v>
      </c>
      <c r="M454" s="40"/>
    </row>
    <row r="455" ht="15.75" customHeight="1">
      <c r="A455" s="40" t="s">
        <v>1868</v>
      </c>
      <c r="B455" s="40" t="s">
        <v>1869</v>
      </c>
      <c r="C455" s="40" t="s">
        <v>1869</v>
      </c>
      <c r="D455" s="40" t="s">
        <v>879</v>
      </c>
      <c r="E455" s="40" t="s">
        <v>879</v>
      </c>
      <c r="F455" s="40" t="s">
        <v>879</v>
      </c>
      <c r="G455" s="40"/>
      <c r="H455" s="40" t="s">
        <v>891</v>
      </c>
      <c r="I455" s="40"/>
      <c r="J455" s="40"/>
      <c r="K455" s="40">
        <v>1.0</v>
      </c>
      <c r="L455" s="40" t="s">
        <v>897</v>
      </c>
      <c r="M455" s="40"/>
    </row>
    <row r="456" ht="15.75" customHeight="1">
      <c r="A456" s="40" t="s">
        <v>1870</v>
      </c>
      <c r="B456" s="40" t="s">
        <v>1871</v>
      </c>
      <c r="C456" s="40" t="s">
        <v>1871</v>
      </c>
      <c r="D456" s="40" t="s">
        <v>879</v>
      </c>
      <c r="E456" s="40" t="s">
        <v>879</v>
      </c>
      <c r="F456" s="40" t="s">
        <v>904</v>
      </c>
      <c r="G456" s="40"/>
      <c r="H456" s="40" t="s">
        <v>891</v>
      </c>
      <c r="I456" s="40"/>
      <c r="J456" s="40"/>
      <c r="K456" s="40">
        <v>1.0</v>
      </c>
      <c r="L456" s="40" t="s">
        <v>897</v>
      </c>
      <c r="M456" s="40"/>
    </row>
    <row r="457" ht="15.75" customHeight="1">
      <c r="A457" s="40" t="s">
        <v>1872</v>
      </c>
      <c r="B457" s="40" t="s">
        <v>1873</v>
      </c>
      <c r="C457" s="40" t="s">
        <v>1873</v>
      </c>
      <c r="D457" s="40" t="s">
        <v>879</v>
      </c>
      <c r="E457" s="40" t="s">
        <v>879</v>
      </c>
      <c r="F457" s="40" t="s">
        <v>904</v>
      </c>
      <c r="G457" s="40"/>
      <c r="H457" s="40" t="s">
        <v>891</v>
      </c>
      <c r="I457" s="40"/>
      <c r="J457" s="40"/>
      <c r="K457" s="40">
        <v>1.0</v>
      </c>
      <c r="L457" s="40" t="s">
        <v>897</v>
      </c>
      <c r="M457" s="40"/>
    </row>
    <row r="458" ht="15.75" customHeight="1">
      <c r="A458" s="40" t="s">
        <v>1874</v>
      </c>
      <c r="B458" s="40" t="s">
        <v>1875</v>
      </c>
      <c r="C458" s="40" t="s">
        <v>1875</v>
      </c>
      <c r="D458" s="40" t="s">
        <v>879</v>
      </c>
      <c r="E458" s="40" t="s">
        <v>879</v>
      </c>
      <c r="F458" s="40" t="s">
        <v>904</v>
      </c>
      <c r="G458" s="40"/>
      <c r="H458" s="40" t="s">
        <v>891</v>
      </c>
      <c r="I458" s="40"/>
      <c r="J458" s="40"/>
      <c r="K458" s="40">
        <v>1.0</v>
      </c>
      <c r="L458" s="40" t="s">
        <v>897</v>
      </c>
      <c r="M458" s="40"/>
    </row>
    <row r="459" ht="15.75" customHeight="1">
      <c r="A459" s="40" t="s">
        <v>1876</v>
      </c>
      <c r="B459" s="40" t="s">
        <v>1877</v>
      </c>
      <c r="C459" s="40" t="s">
        <v>1877</v>
      </c>
      <c r="D459" s="40" t="s">
        <v>879</v>
      </c>
      <c r="E459" s="40" t="s">
        <v>879</v>
      </c>
      <c r="F459" s="40" t="s">
        <v>904</v>
      </c>
      <c r="G459" s="40"/>
      <c r="H459" s="40" t="s">
        <v>891</v>
      </c>
      <c r="I459" s="40"/>
      <c r="J459" s="40"/>
      <c r="K459" s="40">
        <v>1.0</v>
      </c>
      <c r="L459" s="40" t="s">
        <v>897</v>
      </c>
      <c r="M459" s="40"/>
    </row>
    <row r="460" ht="15.75" customHeight="1">
      <c r="A460" s="40" t="s">
        <v>1878</v>
      </c>
      <c r="B460" s="40" t="s">
        <v>1879</v>
      </c>
      <c r="C460" s="40" t="s">
        <v>1879</v>
      </c>
      <c r="D460" s="40" t="s">
        <v>879</v>
      </c>
      <c r="E460" s="40" t="s">
        <v>879</v>
      </c>
      <c r="F460" s="40" t="s">
        <v>904</v>
      </c>
      <c r="G460" s="40"/>
      <c r="H460" s="40" t="s">
        <v>891</v>
      </c>
      <c r="I460" s="40"/>
      <c r="J460" s="40"/>
      <c r="K460" s="40">
        <v>1.0</v>
      </c>
      <c r="L460" s="40" t="s">
        <v>897</v>
      </c>
      <c r="M460" s="40"/>
    </row>
    <row r="461" ht="15.75" customHeight="1">
      <c r="A461" s="40" t="s">
        <v>1880</v>
      </c>
      <c r="B461" s="40" t="s">
        <v>1881</v>
      </c>
      <c r="C461" s="40" t="s">
        <v>1881</v>
      </c>
      <c r="D461" s="40" t="s">
        <v>879</v>
      </c>
      <c r="E461" s="40" t="s">
        <v>879</v>
      </c>
      <c r="F461" s="40" t="s">
        <v>904</v>
      </c>
      <c r="G461" s="40"/>
      <c r="H461" s="40" t="s">
        <v>891</v>
      </c>
      <c r="I461" s="40"/>
      <c r="J461" s="40"/>
      <c r="K461" s="40">
        <v>1.0</v>
      </c>
      <c r="L461" s="40" t="s">
        <v>897</v>
      </c>
      <c r="M461" s="40"/>
    </row>
    <row r="462" ht="15.75" customHeight="1">
      <c r="A462" s="40" t="s">
        <v>1882</v>
      </c>
      <c r="B462" s="40" t="s">
        <v>1883</v>
      </c>
      <c r="C462" s="40" t="s">
        <v>1883</v>
      </c>
      <c r="D462" s="40" t="s">
        <v>879</v>
      </c>
      <c r="E462" s="40" t="s">
        <v>879</v>
      </c>
      <c r="F462" s="40" t="s">
        <v>904</v>
      </c>
      <c r="G462" s="40"/>
      <c r="H462" s="40" t="s">
        <v>891</v>
      </c>
      <c r="I462" s="40"/>
      <c r="J462" s="40"/>
      <c r="K462" s="40">
        <v>1.0</v>
      </c>
      <c r="L462" s="40" t="s">
        <v>897</v>
      </c>
      <c r="M462" s="40"/>
    </row>
    <row r="463" ht="15.75" customHeight="1">
      <c r="A463" s="40" t="s">
        <v>1884</v>
      </c>
      <c r="B463" s="40" t="s">
        <v>1885</v>
      </c>
      <c r="C463" s="40" t="s">
        <v>1885</v>
      </c>
      <c r="D463" s="40" t="s">
        <v>879</v>
      </c>
      <c r="E463" s="40" t="s">
        <v>879</v>
      </c>
      <c r="F463" s="40" t="s">
        <v>904</v>
      </c>
      <c r="G463" s="40"/>
      <c r="H463" s="40" t="s">
        <v>891</v>
      </c>
      <c r="I463" s="40"/>
      <c r="J463" s="40"/>
      <c r="K463" s="40">
        <v>2.0</v>
      </c>
      <c r="L463" s="40" t="s">
        <v>897</v>
      </c>
      <c r="M463" s="40"/>
    </row>
    <row r="464" ht="15.75" customHeight="1">
      <c r="A464" s="40" t="s">
        <v>1886</v>
      </c>
      <c r="B464" s="40" t="s">
        <v>1887</v>
      </c>
      <c r="C464" s="40" t="s">
        <v>1887</v>
      </c>
      <c r="D464" s="40" t="s">
        <v>879</v>
      </c>
      <c r="E464" s="40" t="s">
        <v>879</v>
      </c>
      <c r="F464" s="40" t="s">
        <v>1888</v>
      </c>
      <c r="G464" s="40"/>
      <c r="H464" s="40" t="s">
        <v>891</v>
      </c>
      <c r="I464" s="40"/>
      <c r="J464" s="40"/>
      <c r="K464" s="40">
        <v>1.0</v>
      </c>
      <c r="L464" s="40" t="s">
        <v>897</v>
      </c>
      <c r="M464" s="40"/>
    </row>
    <row r="465" ht="15.75" customHeight="1">
      <c r="A465" s="40" t="s">
        <v>1889</v>
      </c>
      <c r="B465" s="40" t="s">
        <v>1890</v>
      </c>
      <c r="C465" s="40" t="s">
        <v>1890</v>
      </c>
      <c r="D465" s="40" t="s">
        <v>879</v>
      </c>
      <c r="E465" s="40" t="s">
        <v>879</v>
      </c>
      <c r="F465" s="40" t="s">
        <v>879</v>
      </c>
      <c r="G465" s="40"/>
      <c r="H465" s="40" t="s">
        <v>891</v>
      </c>
      <c r="I465" s="40"/>
      <c r="J465" s="40"/>
      <c r="K465" s="40">
        <v>1.0</v>
      </c>
      <c r="L465" s="40" t="s">
        <v>968</v>
      </c>
      <c r="M465" s="40"/>
    </row>
    <row r="466" ht="15.75" customHeight="1">
      <c r="A466" s="40" t="s">
        <v>1891</v>
      </c>
      <c r="B466" s="40" t="s">
        <v>1892</v>
      </c>
      <c r="C466" s="40" t="s">
        <v>1892</v>
      </c>
      <c r="D466" s="40" t="s">
        <v>879</v>
      </c>
      <c r="E466" s="40" t="s">
        <v>879</v>
      </c>
      <c r="F466" s="40" t="s">
        <v>904</v>
      </c>
      <c r="G466" s="40"/>
      <c r="H466" s="40" t="s">
        <v>891</v>
      </c>
      <c r="I466" s="40"/>
      <c r="J466" s="40"/>
      <c r="K466" s="40">
        <v>1.0</v>
      </c>
      <c r="L466" s="40" t="s">
        <v>897</v>
      </c>
      <c r="M466" s="40"/>
    </row>
    <row r="467" ht="15.75" customHeight="1">
      <c r="A467" s="40" t="s">
        <v>1893</v>
      </c>
      <c r="B467" s="40" t="s">
        <v>1894</v>
      </c>
      <c r="C467" s="40" t="s">
        <v>1894</v>
      </c>
      <c r="D467" s="40" t="s">
        <v>879</v>
      </c>
      <c r="E467" s="40" t="s">
        <v>879</v>
      </c>
      <c r="F467" s="40" t="s">
        <v>879</v>
      </c>
      <c r="G467" s="40"/>
      <c r="H467" s="40" t="s">
        <v>891</v>
      </c>
      <c r="I467" s="40"/>
      <c r="J467" s="40"/>
      <c r="K467" s="40">
        <v>1.0</v>
      </c>
      <c r="L467" s="40" t="s">
        <v>892</v>
      </c>
      <c r="M467" s="40"/>
    </row>
    <row r="468" ht="15.75" customHeight="1">
      <c r="A468" s="40" t="s">
        <v>1895</v>
      </c>
      <c r="B468" s="40" t="s">
        <v>1896</v>
      </c>
      <c r="C468" s="40" t="s">
        <v>1896</v>
      </c>
      <c r="D468" s="40" t="s">
        <v>879</v>
      </c>
      <c r="E468" s="40" t="s">
        <v>879</v>
      </c>
      <c r="F468" s="40" t="s">
        <v>904</v>
      </c>
      <c r="G468" s="40"/>
      <c r="H468" s="40" t="s">
        <v>891</v>
      </c>
      <c r="I468" s="40"/>
      <c r="J468" s="40"/>
      <c r="K468" s="40">
        <v>1.0</v>
      </c>
      <c r="L468" s="40" t="s">
        <v>897</v>
      </c>
      <c r="M468" s="40"/>
    </row>
    <row r="469" ht="15.75" customHeight="1">
      <c r="A469" s="40" t="s">
        <v>1897</v>
      </c>
      <c r="B469" s="40" t="s">
        <v>1898</v>
      </c>
      <c r="C469" s="40" t="s">
        <v>1898</v>
      </c>
      <c r="D469" s="40" t="s">
        <v>879</v>
      </c>
      <c r="E469" s="40" t="s">
        <v>879</v>
      </c>
      <c r="F469" s="40" t="s">
        <v>904</v>
      </c>
      <c r="G469" s="40"/>
      <c r="H469" s="40" t="s">
        <v>891</v>
      </c>
      <c r="I469" s="40"/>
      <c r="J469" s="40"/>
      <c r="K469" s="40">
        <v>2.0</v>
      </c>
      <c r="L469" s="40" t="s">
        <v>897</v>
      </c>
      <c r="M469" s="40"/>
    </row>
    <row r="470" ht="15.75" customHeight="1">
      <c r="A470" s="40" t="s">
        <v>1899</v>
      </c>
      <c r="B470" s="40" t="s">
        <v>1900</v>
      </c>
      <c r="C470" s="40" t="s">
        <v>1900</v>
      </c>
      <c r="D470" s="40" t="s">
        <v>879</v>
      </c>
      <c r="E470" s="40" t="s">
        <v>879</v>
      </c>
      <c r="F470" s="40" t="s">
        <v>879</v>
      </c>
      <c r="G470" s="40"/>
      <c r="H470" s="40" t="s">
        <v>891</v>
      </c>
      <c r="I470" s="40"/>
      <c r="J470" s="40"/>
      <c r="K470" s="40">
        <v>1.0</v>
      </c>
      <c r="L470" s="40" t="s">
        <v>892</v>
      </c>
      <c r="M470" s="40"/>
    </row>
    <row r="471" ht="15.75" customHeight="1">
      <c r="A471" s="40" t="s">
        <v>1901</v>
      </c>
      <c r="B471" s="40" t="s">
        <v>1902</v>
      </c>
      <c r="C471" s="40" t="s">
        <v>1902</v>
      </c>
      <c r="D471" s="40" t="s">
        <v>879</v>
      </c>
      <c r="E471" s="40" t="s">
        <v>879</v>
      </c>
      <c r="F471" s="40" t="s">
        <v>904</v>
      </c>
      <c r="G471" s="40"/>
      <c r="H471" s="40" t="s">
        <v>891</v>
      </c>
      <c r="I471" s="40"/>
      <c r="J471" s="40"/>
      <c r="K471" s="40">
        <v>1.0</v>
      </c>
      <c r="L471" s="40" t="s">
        <v>897</v>
      </c>
      <c r="M471" s="40"/>
    </row>
    <row r="472" ht="15.75" customHeight="1">
      <c r="A472" s="40" t="s">
        <v>1903</v>
      </c>
      <c r="B472" s="40" t="s">
        <v>1904</v>
      </c>
      <c r="C472" s="40" t="s">
        <v>1904</v>
      </c>
      <c r="D472" s="40" t="s">
        <v>879</v>
      </c>
      <c r="E472" s="40" t="s">
        <v>879</v>
      </c>
      <c r="F472" s="40" t="s">
        <v>904</v>
      </c>
      <c r="G472" s="40"/>
      <c r="H472" s="40" t="s">
        <v>891</v>
      </c>
      <c r="I472" s="40"/>
      <c r="J472" s="40"/>
      <c r="K472" s="40">
        <v>1.0</v>
      </c>
      <c r="L472" s="40" t="s">
        <v>897</v>
      </c>
      <c r="M472" s="40"/>
    </row>
    <row r="473" ht="15.75" customHeight="1">
      <c r="A473" s="40" t="s">
        <v>1905</v>
      </c>
      <c r="B473" s="40" t="s">
        <v>1906</v>
      </c>
      <c r="C473" s="40" t="s">
        <v>1906</v>
      </c>
      <c r="D473" s="40" t="s">
        <v>879</v>
      </c>
      <c r="E473" s="40" t="s">
        <v>879</v>
      </c>
      <c r="F473" s="40" t="s">
        <v>904</v>
      </c>
      <c r="G473" s="40"/>
      <c r="H473" s="40" t="s">
        <v>891</v>
      </c>
      <c r="I473" s="40"/>
      <c r="J473" s="40"/>
      <c r="K473" s="40">
        <v>1.0</v>
      </c>
      <c r="L473" s="40" t="s">
        <v>897</v>
      </c>
      <c r="M473" s="40"/>
    </row>
    <row r="474" ht="15.75" customHeight="1">
      <c r="A474" s="40" t="s">
        <v>1907</v>
      </c>
      <c r="B474" s="40" t="s">
        <v>1908</v>
      </c>
      <c r="C474" s="40" t="s">
        <v>1908</v>
      </c>
      <c r="D474" s="40" t="s">
        <v>879</v>
      </c>
      <c r="E474" s="40" t="s">
        <v>879</v>
      </c>
      <c r="F474" s="40" t="s">
        <v>904</v>
      </c>
      <c r="G474" s="40"/>
      <c r="H474" s="40" t="s">
        <v>891</v>
      </c>
      <c r="I474" s="40"/>
      <c r="J474" s="40"/>
      <c r="K474" s="40">
        <v>1.0</v>
      </c>
      <c r="L474" s="40" t="s">
        <v>897</v>
      </c>
      <c r="M474" s="40"/>
    </row>
    <row r="475" ht="15.75" customHeight="1">
      <c r="A475" s="40" t="s">
        <v>1909</v>
      </c>
      <c r="B475" s="40" t="s">
        <v>1910</v>
      </c>
      <c r="C475" s="40" t="s">
        <v>1910</v>
      </c>
      <c r="D475" s="40" t="s">
        <v>879</v>
      </c>
      <c r="E475" s="40" t="s">
        <v>879</v>
      </c>
      <c r="F475" s="40" t="s">
        <v>904</v>
      </c>
      <c r="G475" s="40"/>
      <c r="H475" s="40" t="s">
        <v>891</v>
      </c>
      <c r="I475" s="40"/>
      <c r="J475" s="40"/>
      <c r="K475" s="40">
        <v>1.0</v>
      </c>
      <c r="L475" s="40" t="s">
        <v>897</v>
      </c>
      <c r="M475" s="40"/>
    </row>
    <row r="476" ht="15.75" customHeight="1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</row>
    <row r="477" ht="15.75" customHeight="1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</row>
    <row r="478" ht="15.75" customHeight="1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</row>
    <row r="479" ht="15.75" customHeight="1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</row>
    <row r="480" ht="15.75" customHeight="1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</row>
    <row r="481" ht="15.75" customHeight="1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</row>
    <row r="482" ht="15.75" customHeight="1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</row>
    <row r="483" ht="15.75" customHeight="1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</row>
    <row r="484" ht="15.75" customHeight="1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</row>
    <row r="485" ht="15.75" customHeight="1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</row>
    <row r="486" ht="15.75" customHeight="1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</row>
    <row r="487" ht="15.75" customHeight="1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</row>
    <row r="488" ht="15.75" customHeight="1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</row>
    <row r="489" ht="15.75" customHeight="1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</row>
    <row r="490" ht="15.75" customHeight="1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</row>
    <row r="491" ht="15.75" customHeight="1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</row>
    <row r="492" ht="15.75" customHeight="1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</row>
    <row r="493" ht="15.75" customHeight="1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</row>
    <row r="494" ht="15.75" customHeight="1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</row>
    <row r="495" ht="15.75" customHeight="1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</row>
    <row r="496" ht="15.75" customHeight="1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</row>
    <row r="497" ht="15.75" customHeight="1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</row>
    <row r="498" ht="15.75" customHeight="1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</row>
    <row r="499" ht="15.75" customHeight="1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</row>
    <row r="500" ht="15.75" customHeight="1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</row>
    <row r="501" ht="15.75" customHeight="1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</row>
    <row r="502" ht="15.75" customHeight="1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</row>
    <row r="503" ht="15.75" customHeight="1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</row>
    <row r="504" ht="15.75" customHeight="1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</row>
    <row r="505" ht="15.75" customHeight="1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</row>
    <row r="506" ht="15.75" customHeight="1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</row>
    <row r="507" ht="15.75" customHeight="1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</row>
    <row r="508" ht="15.75" customHeight="1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</row>
    <row r="509" ht="15.75" customHeight="1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</row>
    <row r="510" ht="15.75" customHeight="1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</row>
    <row r="511" ht="15.75" customHeight="1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</row>
    <row r="512" ht="15.75" customHeight="1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</row>
    <row r="513" ht="15.75" customHeight="1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</row>
    <row r="514" ht="15.75" customHeight="1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</row>
    <row r="515" ht="15.75" customHeight="1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</row>
    <row r="516" ht="15.75" customHeight="1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</row>
    <row r="517" ht="15.75" customHeight="1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</row>
    <row r="518" ht="15.75" customHeight="1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</row>
    <row r="519" ht="15.75" customHeight="1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</row>
    <row r="520" ht="15.75" customHeight="1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</row>
    <row r="521" ht="15.75" customHeight="1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</row>
    <row r="522" ht="15.75" customHeight="1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</row>
    <row r="523" ht="15.75" customHeight="1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</row>
    <row r="524" ht="15.75" customHeight="1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</row>
    <row r="525" ht="15.75" customHeight="1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</row>
    <row r="526" ht="15.75" customHeight="1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</row>
    <row r="527" ht="15.75" customHeight="1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</row>
    <row r="528" ht="15.75" customHeight="1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</row>
    <row r="529" ht="15.75" customHeight="1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</row>
    <row r="530" ht="15.75" customHeight="1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</row>
    <row r="531" ht="15.75" customHeight="1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</row>
    <row r="532" ht="15.75" customHeight="1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</row>
    <row r="533" ht="15.75" customHeight="1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</row>
    <row r="534" ht="15.75" customHeight="1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</row>
    <row r="535" ht="15.75" customHeight="1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</row>
    <row r="536" ht="15.75" customHeight="1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</row>
    <row r="537" ht="15.75" customHeight="1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</row>
    <row r="538" ht="15.75" customHeight="1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</row>
    <row r="539" ht="15.75" customHeight="1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</row>
    <row r="540" ht="15.75" customHeight="1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</row>
    <row r="541" ht="15.75" customHeight="1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</row>
    <row r="542" ht="15.75" customHeight="1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</row>
    <row r="543" ht="15.75" customHeight="1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</row>
    <row r="544" ht="15.75" customHeight="1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</row>
    <row r="545" ht="15.75" customHeight="1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</row>
    <row r="546" ht="15.75" customHeight="1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</row>
    <row r="547" ht="15.75" customHeight="1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</row>
    <row r="548" ht="15.75" customHeight="1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</row>
    <row r="549" ht="15.75" customHeight="1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</row>
    <row r="550" ht="15.75" customHeight="1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</row>
    <row r="551" ht="15.75" customHeight="1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</row>
    <row r="552" ht="15.75" customHeight="1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</row>
    <row r="553" ht="15.75" customHeight="1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</row>
    <row r="554" ht="15.75" customHeight="1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</row>
    <row r="555" ht="15.75" customHeight="1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</row>
    <row r="556" ht="15.75" customHeight="1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</row>
    <row r="557" ht="15.75" customHeight="1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</row>
    <row r="558" ht="15.75" customHeight="1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</row>
    <row r="559" ht="15.75" customHeight="1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</row>
    <row r="560" ht="15.75" customHeight="1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</row>
    <row r="561" ht="15.75" customHeight="1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</row>
    <row r="562" ht="15.75" customHeight="1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</row>
    <row r="563" ht="15.75" customHeight="1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</row>
    <row r="564" ht="15.75" customHeight="1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</row>
    <row r="565" ht="15.75" customHeight="1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</row>
    <row r="566" ht="15.75" customHeight="1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</row>
    <row r="567" ht="15.75" customHeight="1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</row>
    <row r="568" ht="15.7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</row>
    <row r="569" ht="15.75" customHeight="1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</row>
    <row r="570" ht="15.75" customHeight="1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</row>
    <row r="571" ht="15.75" customHeight="1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</row>
    <row r="572" ht="15.75" customHeight="1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</row>
    <row r="573" ht="15.75" customHeight="1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</row>
    <row r="574" ht="15.75" customHeight="1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</row>
    <row r="575" ht="15.75" customHeight="1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</row>
    <row r="576" ht="15.75" customHeight="1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</row>
    <row r="577" ht="15.75" customHeight="1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</row>
    <row r="578" ht="15.75" customHeight="1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</row>
    <row r="579" ht="15.75" customHeight="1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</row>
    <row r="580" ht="15.75" customHeight="1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</row>
    <row r="581" ht="15.75" customHeight="1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</row>
    <row r="582" ht="15.75" customHeight="1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</row>
    <row r="583" ht="15.75" customHeight="1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</row>
    <row r="584" ht="15.75" customHeight="1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</row>
    <row r="585" ht="15.75" customHeight="1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</row>
    <row r="586" ht="15.75" customHeight="1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</row>
    <row r="587" ht="15.75" customHeight="1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</row>
    <row r="588" ht="15.75" customHeight="1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</row>
    <row r="589" ht="15.75" customHeight="1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</row>
    <row r="590" ht="15.75" customHeight="1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</row>
    <row r="591" ht="15.75" customHeight="1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</row>
    <row r="592" ht="15.75" customHeight="1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</row>
    <row r="593" ht="15.75" customHeight="1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</row>
    <row r="594" ht="15.75" customHeight="1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</row>
    <row r="595" ht="15.75" customHeight="1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</row>
    <row r="596" ht="15.75" customHeight="1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</row>
    <row r="597" ht="15.75" customHeight="1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</row>
    <row r="598" ht="15.75" customHeight="1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</row>
    <row r="599" ht="15.75" customHeight="1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</row>
    <row r="600" ht="15.75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</row>
    <row r="601" ht="15.75" customHeight="1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</row>
    <row r="602" ht="15.75" customHeight="1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</row>
    <row r="603" ht="15.75" customHeight="1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</row>
    <row r="604" ht="15.75" customHeight="1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</row>
    <row r="605" ht="15.75" customHeight="1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</row>
    <row r="606" ht="15.75" customHeight="1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</row>
    <row r="607" ht="15.75" customHeight="1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</row>
    <row r="608" ht="15.75" customHeight="1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</row>
    <row r="609" ht="15.75" customHeight="1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</row>
    <row r="610" ht="15.75" customHeight="1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</row>
    <row r="611" ht="15.75" customHeight="1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</row>
    <row r="612" ht="15.75" customHeight="1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</row>
    <row r="613" ht="15.75" customHeight="1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</row>
    <row r="614" ht="15.75" customHeight="1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</row>
    <row r="615" ht="15.75" customHeight="1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</row>
    <row r="616" ht="15.75" customHeight="1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</row>
    <row r="617" ht="15.75" customHeight="1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</row>
    <row r="618" ht="15.75" customHeight="1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</row>
    <row r="619" ht="15.75" customHeight="1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</row>
    <row r="620" ht="15.75" customHeight="1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</row>
    <row r="621" ht="15.75" customHeight="1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</row>
    <row r="622" ht="15.75" customHeight="1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</row>
    <row r="623" ht="15.75" customHeight="1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</row>
    <row r="624" ht="15.75" customHeight="1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</row>
    <row r="625" ht="15.75" customHeight="1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</row>
    <row r="626" ht="15.75" customHeight="1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</row>
    <row r="627" ht="15.75" customHeight="1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</row>
    <row r="628" ht="15.75" customHeight="1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</row>
    <row r="629" ht="15.75" customHeight="1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</row>
    <row r="630" ht="15.75" customHeight="1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</row>
    <row r="631" ht="15.75" customHeight="1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</row>
    <row r="632" ht="15.75" customHeight="1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</row>
    <row r="633" ht="15.75" customHeight="1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</row>
    <row r="634" ht="15.75" customHeight="1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</row>
    <row r="635" ht="15.75" customHeight="1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</row>
    <row r="636" ht="15.75" customHeight="1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</row>
    <row r="637" ht="15.75" customHeight="1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</row>
    <row r="638" ht="15.75" customHeight="1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</row>
    <row r="639" ht="15.75" customHeight="1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</row>
    <row r="640" ht="15.75" customHeight="1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</row>
    <row r="641" ht="15.75" customHeight="1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</row>
    <row r="642" ht="15.75" customHeight="1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</row>
    <row r="643" ht="15.75" customHeight="1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</row>
    <row r="644" ht="15.75" customHeight="1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</row>
    <row r="645" ht="15.75" customHeight="1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</row>
    <row r="646" ht="15.75" customHeight="1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</row>
    <row r="647" ht="15.75" customHeight="1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</row>
    <row r="648" ht="15.75" customHeight="1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</row>
    <row r="649" ht="15.75" customHeight="1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</row>
    <row r="650" ht="15.75" customHeight="1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</row>
    <row r="651" ht="15.75" customHeight="1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</row>
    <row r="652" ht="15.75" customHeight="1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</row>
    <row r="653" ht="15.75" customHeight="1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</row>
    <row r="654" ht="15.75" customHeight="1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</row>
    <row r="655" ht="15.75" customHeight="1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</row>
    <row r="656" ht="15.75" customHeight="1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</row>
    <row r="657" ht="15.75" customHeight="1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</row>
    <row r="658" ht="15.75" customHeight="1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</row>
    <row r="659" ht="15.75" customHeight="1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</row>
    <row r="660" ht="15.75" customHeight="1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</row>
    <row r="661" ht="15.75" customHeight="1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</row>
    <row r="662" ht="15.75" customHeight="1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</row>
    <row r="663" ht="15.75" customHeight="1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</row>
    <row r="664" ht="15.75" customHeight="1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</row>
    <row r="665" ht="15.75" customHeight="1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</row>
    <row r="666" ht="15.75" customHeight="1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</row>
    <row r="667" ht="15.75" customHeight="1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</row>
    <row r="668" ht="15.75" customHeight="1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</row>
    <row r="669" ht="15.75" customHeight="1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</row>
    <row r="670" ht="15.75" customHeight="1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</row>
    <row r="671" ht="15.75" customHeight="1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</row>
    <row r="672" ht="15.75" customHeight="1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</row>
    <row r="673" ht="15.75" customHeight="1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</row>
    <row r="674" ht="15.75" customHeight="1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</row>
    <row r="675" ht="15.75" customHeight="1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</row>
    <row r="676" ht="15.75" customHeight="1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</row>
    <row r="677" ht="15.75" customHeight="1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</row>
    <row r="678" ht="15.75" customHeight="1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</row>
    <row r="679" ht="15.75" customHeight="1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</row>
    <row r="680" ht="15.75" customHeight="1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</row>
    <row r="681" ht="15.7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</row>
    <row r="682" ht="15.75" customHeight="1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</row>
    <row r="683" ht="15.75" customHeight="1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</row>
    <row r="684" ht="15.75" customHeight="1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</row>
    <row r="685" ht="15.75" customHeight="1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</row>
    <row r="686" ht="15.75" customHeight="1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</row>
    <row r="687" ht="15.75" customHeight="1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</row>
    <row r="688" ht="15.75" customHeight="1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</row>
    <row r="689" ht="15.75" customHeight="1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</row>
    <row r="690" ht="15.75" customHeight="1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</row>
    <row r="691" ht="15.75" customHeight="1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</row>
    <row r="692" ht="15.75" customHeight="1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</row>
    <row r="693" ht="15.75" customHeight="1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</row>
    <row r="694" ht="15.75" customHeight="1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</row>
    <row r="695" ht="15.75" customHeight="1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</row>
    <row r="696" ht="15.75" customHeight="1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</row>
    <row r="697" ht="15.75" customHeight="1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</row>
    <row r="698" ht="15.75" customHeight="1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</row>
    <row r="699" ht="15.75" customHeight="1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</row>
    <row r="700" ht="15.75" customHeight="1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</row>
    <row r="701" ht="15.75" customHeight="1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</row>
    <row r="702" ht="15.75" customHeight="1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</row>
    <row r="703" ht="15.75" customHeight="1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</row>
    <row r="704" ht="15.75" customHeight="1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</row>
    <row r="705" ht="15.75" customHeight="1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</row>
    <row r="706" ht="15.75" customHeight="1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</row>
    <row r="707" ht="15.75" customHeight="1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</row>
    <row r="708" ht="15.75" customHeight="1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</row>
    <row r="709" ht="15.75" customHeight="1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</row>
    <row r="710" ht="15.75" customHeight="1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</row>
    <row r="711" ht="15.75" customHeight="1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</row>
    <row r="712" ht="15.75" customHeight="1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</row>
    <row r="713" ht="15.75" customHeight="1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</row>
    <row r="714" ht="15.75" customHeight="1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</row>
    <row r="715" ht="15.75" customHeight="1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</row>
    <row r="716" ht="15.75" customHeight="1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</row>
    <row r="717" ht="15.75" customHeight="1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</row>
    <row r="718" ht="15.75" customHeight="1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</row>
    <row r="719" ht="15.75" customHeight="1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</row>
    <row r="720" ht="15.75" customHeight="1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</row>
    <row r="721" ht="15.75" customHeight="1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</row>
    <row r="722" ht="15.75" customHeight="1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</row>
    <row r="723" ht="15.75" customHeight="1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</row>
    <row r="724" ht="15.75" customHeight="1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</row>
    <row r="725" ht="15.75" customHeight="1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</row>
    <row r="726" ht="15.75" customHeight="1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</row>
    <row r="727" ht="15.75" customHeight="1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</row>
    <row r="728" ht="15.75" customHeight="1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</row>
    <row r="729" ht="15.75" customHeight="1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</row>
    <row r="730" ht="15.75" customHeight="1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</row>
    <row r="731" ht="15.75" customHeight="1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</row>
    <row r="732" ht="15.75" customHeight="1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</row>
    <row r="733" ht="15.75" customHeight="1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</row>
    <row r="734" ht="15.75" customHeight="1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</row>
    <row r="735" ht="15.75" customHeight="1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</row>
    <row r="736" ht="15.75" customHeight="1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</row>
    <row r="737" ht="15.75" customHeight="1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</row>
    <row r="738" ht="15.75" customHeight="1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</row>
    <row r="739" ht="15.75" customHeight="1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</row>
    <row r="740" ht="15.75" customHeight="1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</row>
    <row r="741" ht="15.75" customHeight="1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</row>
    <row r="742" ht="15.75" customHeight="1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</row>
    <row r="743" ht="15.75" customHeight="1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</row>
    <row r="744" ht="15.75" customHeight="1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</row>
    <row r="745" ht="15.75" customHeight="1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</row>
    <row r="746" ht="15.75" customHeight="1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</row>
    <row r="747" ht="15.75" customHeight="1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</row>
    <row r="748" ht="15.75" customHeight="1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</row>
    <row r="749" ht="15.75" customHeight="1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</row>
    <row r="750" ht="15.75" customHeight="1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</row>
    <row r="751" ht="15.75" customHeight="1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</row>
    <row r="752" ht="15.75" customHeight="1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</row>
    <row r="753" ht="15.75" customHeight="1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</row>
    <row r="754" ht="15.75" customHeight="1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</row>
    <row r="755" ht="15.75" customHeight="1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</row>
    <row r="756" ht="15.75" customHeight="1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</row>
    <row r="757" ht="15.75" customHeight="1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</row>
    <row r="758" ht="15.75" customHeight="1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</row>
    <row r="759" ht="15.75" customHeight="1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</row>
    <row r="760" ht="15.75" customHeight="1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</row>
    <row r="761" ht="15.75" customHeight="1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</row>
    <row r="762" ht="15.75" customHeight="1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</row>
    <row r="763" ht="15.75" customHeight="1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</row>
    <row r="764" ht="15.75" customHeight="1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</row>
    <row r="765" ht="15.75" customHeight="1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</row>
    <row r="766" ht="15.75" customHeight="1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</row>
    <row r="767" ht="15.75" customHeight="1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</row>
    <row r="768" ht="15.75" customHeight="1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</row>
    <row r="769" ht="15.75" customHeight="1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</row>
    <row r="770" ht="15.75" customHeight="1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</row>
    <row r="771" ht="15.75" customHeight="1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</row>
    <row r="772" ht="15.75" customHeight="1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</row>
    <row r="773" ht="15.75" customHeight="1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</row>
    <row r="774" ht="15.75" customHeight="1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</row>
    <row r="775" ht="15.75" customHeight="1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</row>
    <row r="776" ht="15.75" customHeight="1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</row>
    <row r="777" ht="15.75" customHeight="1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</row>
    <row r="778" ht="15.75" customHeight="1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</row>
    <row r="779" ht="15.75" customHeight="1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</row>
    <row r="780" ht="15.75" customHeight="1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</row>
    <row r="781" ht="15.75" customHeight="1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</row>
    <row r="782" ht="15.75" customHeight="1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</row>
    <row r="783" ht="15.75" customHeight="1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</row>
    <row r="784" ht="15.75" customHeight="1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</row>
    <row r="785" ht="15.75" customHeight="1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</row>
    <row r="786" ht="15.75" customHeight="1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</row>
    <row r="787" ht="15.75" customHeight="1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</row>
    <row r="788" ht="15.75" customHeight="1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</row>
    <row r="789" ht="15.75" customHeight="1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</row>
    <row r="790" ht="15.75" customHeight="1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</row>
    <row r="791" ht="15.75" customHeight="1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</row>
    <row r="792" ht="15.75" customHeight="1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</row>
    <row r="793" ht="15.75" customHeight="1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</row>
    <row r="794" ht="15.75" customHeight="1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</row>
    <row r="795" ht="15.7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</row>
    <row r="796" ht="15.75" customHeight="1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</row>
    <row r="797" ht="15.75" customHeight="1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</row>
    <row r="798" ht="15.75" customHeight="1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</row>
    <row r="799" ht="15.75" customHeight="1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</row>
    <row r="800" ht="15.75" customHeight="1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</row>
    <row r="801" ht="15.75" customHeight="1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</row>
    <row r="802" ht="15.75" customHeight="1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</row>
    <row r="803" ht="15.75" customHeight="1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</row>
    <row r="804" ht="15.75" customHeight="1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</row>
    <row r="805" ht="15.75" customHeight="1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</row>
    <row r="806" ht="15.75" customHeight="1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</row>
    <row r="807" ht="15.75" customHeight="1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</row>
    <row r="808" ht="15.75" customHeight="1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</row>
    <row r="809" ht="15.75" customHeight="1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</row>
    <row r="810" ht="15.75" customHeight="1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</row>
    <row r="811" ht="15.75" customHeight="1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</row>
    <row r="812" ht="15.75" customHeight="1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</row>
    <row r="813" ht="15.75" customHeight="1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</row>
    <row r="814" ht="15.75" customHeight="1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</row>
    <row r="815" ht="15.75" customHeight="1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</row>
    <row r="816" ht="15.75" customHeight="1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</row>
    <row r="817" ht="15.75" customHeight="1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</row>
    <row r="818" ht="15.75" customHeight="1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</row>
    <row r="819" ht="15.75" customHeight="1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</row>
    <row r="820" ht="15.75" customHeight="1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</row>
    <row r="821" ht="15.75" customHeight="1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</row>
    <row r="822" ht="15.75" customHeight="1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</row>
    <row r="823" ht="15.75" customHeight="1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</row>
    <row r="824" ht="15.75" customHeight="1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</row>
    <row r="825" ht="15.75" customHeight="1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</row>
    <row r="826" ht="15.75" customHeight="1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</row>
    <row r="827" ht="15.75" customHeight="1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</row>
    <row r="828" ht="15.75" customHeight="1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</row>
    <row r="829" ht="15.75" customHeight="1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</row>
    <row r="830" ht="15.75" customHeight="1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</row>
    <row r="831" ht="15.75" customHeight="1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</row>
    <row r="832" ht="15.75" customHeight="1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</row>
    <row r="833" ht="15.75" customHeight="1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</row>
    <row r="834" ht="15.75" customHeight="1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</row>
    <row r="835" ht="15.75" customHeight="1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</row>
    <row r="836" ht="15.75" customHeight="1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</row>
    <row r="837" ht="15.75" customHeight="1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</row>
    <row r="838" ht="15.75" customHeight="1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</row>
    <row r="839" ht="15.75" customHeight="1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</row>
    <row r="840" ht="15.75" customHeight="1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</row>
    <row r="841" ht="15.75" customHeight="1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</row>
    <row r="842" ht="15.75" customHeight="1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</row>
    <row r="843" ht="15.75" customHeight="1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</row>
    <row r="844" ht="15.75" customHeight="1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</row>
    <row r="845" ht="15.75" customHeight="1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</row>
    <row r="846" ht="15.75" customHeight="1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</row>
    <row r="847" ht="15.75" customHeight="1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</row>
    <row r="848" ht="15.75" customHeight="1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</row>
    <row r="849" ht="15.75" customHeight="1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</row>
    <row r="850" ht="15.75" customHeight="1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</row>
    <row r="851" ht="15.75" customHeight="1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</row>
    <row r="852" ht="15.75" customHeight="1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</row>
    <row r="853" ht="15.75" customHeight="1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</row>
    <row r="854" ht="15.75" customHeight="1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</row>
    <row r="855" ht="15.75" customHeight="1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</row>
    <row r="856" ht="15.75" customHeight="1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</row>
    <row r="857" ht="15.75" customHeight="1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</row>
    <row r="858" ht="15.75" customHeight="1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</row>
    <row r="859" ht="15.75" customHeight="1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</row>
    <row r="860" ht="15.75" customHeight="1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</row>
    <row r="861" ht="15.75" customHeight="1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</row>
    <row r="862" ht="15.75" customHeight="1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</row>
    <row r="863" ht="15.75" customHeight="1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</row>
    <row r="864" ht="15.75" customHeight="1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</row>
    <row r="865" ht="15.75" customHeight="1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</row>
    <row r="866" ht="15.75" customHeight="1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</row>
    <row r="867" ht="15.75" customHeight="1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</row>
    <row r="868" ht="15.75" customHeight="1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</row>
    <row r="869" ht="15.75" customHeight="1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</row>
    <row r="870" ht="15.75" customHeight="1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</row>
    <row r="871" ht="15.75" customHeight="1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</row>
    <row r="872" ht="15.75" customHeight="1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</row>
    <row r="873" ht="15.75" customHeight="1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</row>
    <row r="874" ht="15.75" customHeight="1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</row>
    <row r="875" ht="15.75" customHeight="1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</row>
    <row r="876" ht="15.75" customHeight="1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</row>
    <row r="877" ht="15.75" customHeight="1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</row>
    <row r="878" ht="15.75" customHeight="1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</row>
    <row r="879" ht="15.75" customHeight="1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</row>
    <row r="880" ht="15.75" customHeight="1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</row>
    <row r="881" ht="15.75" customHeight="1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</row>
    <row r="882" ht="15.75" customHeight="1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</row>
    <row r="883" ht="15.75" customHeight="1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</row>
    <row r="884" ht="15.75" customHeight="1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</row>
    <row r="885" ht="15.75" customHeight="1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</row>
    <row r="886" ht="15.75" customHeight="1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</row>
    <row r="887" ht="15.75" customHeight="1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</row>
    <row r="888" ht="15.75" customHeight="1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</row>
    <row r="889" ht="15.75" customHeight="1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</row>
    <row r="890" ht="15.75" customHeight="1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</row>
    <row r="891" ht="15.75" customHeight="1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</row>
    <row r="892" ht="15.75" customHeight="1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</row>
    <row r="893" ht="15.75" customHeight="1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</row>
    <row r="894" ht="15.75" customHeight="1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</row>
    <row r="895" ht="15.75" customHeight="1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</row>
    <row r="896" ht="15.75" customHeight="1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</row>
    <row r="897" ht="15.75" customHeight="1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</row>
    <row r="898" ht="15.75" customHeight="1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</row>
    <row r="899" ht="15.75" customHeight="1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</row>
    <row r="900" ht="15.75" customHeight="1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</row>
    <row r="901" ht="15.75" customHeight="1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</row>
    <row r="902" ht="15.75" customHeight="1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</row>
    <row r="903" ht="15.75" customHeight="1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</row>
    <row r="904" ht="15.75" customHeight="1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</row>
    <row r="905" ht="15.75" customHeight="1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</row>
    <row r="906" ht="15.75" customHeight="1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</row>
    <row r="907" ht="15.75" customHeight="1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</row>
    <row r="908" ht="15.75" customHeight="1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</row>
    <row r="909" ht="15.7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</row>
    <row r="910" ht="15.75" customHeight="1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</row>
    <row r="911" ht="15.75" customHeight="1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</row>
    <row r="912" ht="15.75" customHeight="1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</row>
    <row r="913" ht="15.75" customHeight="1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</row>
    <row r="914" ht="15.75" customHeight="1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</row>
    <row r="915" ht="15.75" customHeight="1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</row>
    <row r="916" ht="15.75" customHeight="1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</row>
    <row r="917" ht="15.75" customHeight="1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</row>
    <row r="918" ht="15.75" customHeight="1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</row>
    <row r="919" ht="15.75" customHeight="1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</row>
    <row r="920" ht="15.75" customHeight="1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</row>
    <row r="921" ht="15.75" customHeight="1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</row>
    <row r="922" ht="15.75" customHeight="1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</row>
    <row r="923" ht="15.75" customHeight="1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</row>
    <row r="924" ht="15.75" customHeight="1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</row>
    <row r="925" ht="15.75" customHeight="1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</row>
    <row r="926" ht="15.75" customHeight="1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</row>
    <row r="927" ht="15.75" customHeight="1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</row>
    <row r="928" ht="15.75" customHeight="1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</row>
    <row r="929" ht="15.75" customHeight="1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</row>
    <row r="930" ht="15.75" customHeight="1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</row>
    <row r="931" ht="15.75" customHeight="1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</row>
    <row r="932" ht="15.75" customHeight="1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</row>
    <row r="933" ht="15.75" customHeight="1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</row>
    <row r="934" ht="15.75" customHeight="1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</row>
    <row r="935" ht="15.75" customHeight="1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</row>
    <row r="936" ht="15.75" customHeight="1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</row>
    <row r="937" ht="15.75" customHeight="1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</row>
    <row r="938" ht="15.75" customHeight="1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</row>
    <row r="939" ht="15.75" customHeight="1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</row>
    <row r="940" ht="15.75" customHeight="1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</row>
    <row r="941" ht="15.75" customHeight="1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</row>
    <row r="942" ht="15.75" customHeight="1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</row>
    <row r="943" ht="15.75" customHeight="1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</row>
    <row r="944" ht="15.75" customHeight="1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</row>
    <row r="945" ht="15.75" customHeight="1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</row>
    <row r="946" ht="15.75" customHeight="1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</row>
    <row r="947" ht="15.75" customHeight="1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</row>
    <row r="948" ht="15.75" customHeight="1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</row>
    <row r="949" ht="15.75" customHeight="1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</row>
    <row r="950" ht="15.75" customHeight="1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</row>
    <row r="951" ht="15.75" customHeight="1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</row>
    <row r="952" ht="15.75" customHeight="1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</row>
    <row r="953" ht="15.75" customHeight="1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</row>
    <row r="954" ht="15.75" customHeight="1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</row>
    <row r="955" ht="15.75" customHeight="1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</row>
    <row r="956" ht="15.75" customHeight="1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</row>
    <row r="957" ht="15.75" customHeight="1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</row>
    <row r="958" ht="15.75" customHeight="1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</row>
    <row r="959" ht="15.75" customHeight="1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</row>
    <row r="960" ht="15.75" customHeight="1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</row>
    <row r="961" ht="15.75" customHeight="1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</row>
    <row r="962" ht="15.75" customHeight="1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</row>
    <row r="963" ht="15.75" customHeight="1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</row>
    <row r="964" ht="15.75" customHeight="1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</row>
    <row r="965" ht="15.75" customHeight="1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</row>
    <row r="966" ht="15.75" customHeight="1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</row>
    <row r="967" ht="15.75" customHeight="1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</row>
    <row r="968" ht="15.75" customHeight="1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</row>
    <row r="969" ht="15.75" customHeight="1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</row>
    <row r="970" ht="15.75" customHeight="1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</row>
    <row r="971" ht="15.75" customHeight="1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</row>
    <row r="972" ht="15.75" customHeight="1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</row>
    <row r="973" ht="15.75" customHeight="1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</row>
    <row r="974" ht="15.75" customHeight="1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</row>
    <row r="975" ht="15.75" customHeight="1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</row>
    <row r="976" ht="15.75" customHeight="1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</row>
    <row r="977" ht="15.75" customHeight="1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</row>
    <row r="978" ht="15.75" customHeight="1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</row>
    <row r="979" ht="15.75" customHeight="1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</row>
    <row r="980" ht="15.75" customHeight="1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</row>
    <row r="981" ht="15.75" customHeight="1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</row>
    <row r="982" ht="15.75" customHeight="1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</row>
    <row r="983" ht="15.75" customHeight="1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</row>
    <row r="984" ht="15.75" customHeight="1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</row>
    <row r="985" ht="15.75" customHeight="1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</row>
    <row r="986" ht="15.75" customHeight="1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</row>
    <row r="987" ht="15.75" customHeight="1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</row>
    <row r="988" ht="15.75" customHeight="1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</row>
    <row r="989" ht="15.75" customHeight="1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</row>
    <row r="990" ht="15.75" customHeight="1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</row>
    <row r="991" ht="15.75" customHeight="1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</row>
    <row r="992" ht="15.75" customHeight="1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</row>
    <row r="993" ht="15.75" customHeight="1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</row>
    <row r="994" ht="15.75" customHeight="1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</row>
    <row r="995" ht="15.75" customHeight="1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</row>
    <row r="996" ht="15.75" customHeight="1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</row>
    <row r="997" ht="15.75" customHeight="1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</row>
    <row r="998" ht="15.75" customHeight="1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</row>
    <row r="999" ht="15.75" customHeight="1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</row>
    <row r="1000" ht="15.75" customHeight="1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</row>
  </sheetData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45.0" customHeight="1">
      <c r="A1" s="2" t="s">
        <v>1911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.25" customHeight="1">
      <c r="A2" s="6" t="s">
        <v>306</v>
      </c>
      <c r="B2" s="4">
        <v>1.0</v>
      </c>
      <c r="C2" s="1" t="s">
        <v>319</v>
      </c>
      <c r="D2" s="1" t="s">
        <v>320</v>
      </c>
      <c r="E2" s="1" t="s">
        <v>161</v>
      </c>
      <c r="F2" s="6" t="s">
        <v>321</v>
      </c>
    </row>
    <row r="3" ht="15.0" customHeight="1">
      <c r="A3" s="6" t="s">
        <v>306</v>
      </c>
      <c r="B3" s="4">
        <v>1.0</v>
      </c>
      <c r="C3" s="1" t="s">
        <v>381</v>
      </c>
      <c r="D3" s="1" t="s">
        <v>382</v>
      </c>
      <c r="E3" s="1" t="s">
        <v>161</v>
      </c>
      <c r="F3" s="6" t="s">
        <v>383</v>
      </c>
    </row>
    <row r="4" ht="11.25" customHeight="1">
      <c r="A4" s="6" t="s">
        <v>322</v>
      </c>
      <c r="B4" s="4">
        <v>1.0</v>
      </c>
      <c r="C4" s="1" t="s">
        <v>355</v>
      </c>
      <c r="D4" s="1" t="s">
        <v>356</v>
      </c>
      <c r="E4" s="1" t="s">
        <v>161</v>
      </c>
      <c r="F4" s="6" t="s">
        <v>357</v>
      </c>
    </row>
    <row r="5" ht="11.25" customHeight="1">
      <c r="A5" s="6" t="s">
        <v>322</v>
      </c>
      <c r="B5" s="4">
        <v>1.0</v>
      </c>
      <c r="C5" s="1" t="s">
        <v>319</v>
      </c>
      <c r="D5" s="1" t="s">
        <v>320</v>
      </c>
      <c r="E5" s="1" t="s">
        <v>161</v>
      </c>
      <c r="F5" s="6" t="s">
        <v>321</v>
      </c>
    </row>
    <row r="6" ht="15.0" customHeight="1">
      <c r="A6" s="1" t="s">
        <v>322</v>
      </c>
      <c r="B6" s="4">
        <v>1.0</v>
      </c>
      <c r="C6" s="1" t="s">
        <v>381</v>
      </c>
      <c r="D6" s="1" t="s">
        <v>382</v>
      </c>
      <c r="E6" s="1" t="s">
        <v>161</v>
      </c>
      <c r="F6" s="6" t="s">
        <v>383</v>
      </c>
    </row>
    <row r="7" ht="11.25" customHeight="1">
      <c r="A7" s="6" t="s">
        <v>323</v>
      </c>
      <c r="B7" s="4">
        <v>1.0</v>
      </c>
      <c r="C7" s="1" t="s">
        <v>355</v>
      </c>
      <c r="D7" s="1" t="s">
        <v>356</v>
      </c>
      <c r="E7" s="1" t="s">
        <v>161</v>
      </c>
      <c r="F7" s="6" t="s">
        <v>357</v>
      </c>
    </row>
    <row r="8" ht="11.25" customHeight="1">
      <c r="A8" s="6" t="s">
        <v>323</v>
      </c>
      <c r="B8" s="4">
        <v>1.0</v>
      </c>
      <c r="C8" s="1" t="s">
        <v>319</v>
      </c>
      <c r="D8" s="1" t="s">
        <v>320</v>
      </c>
      <c r="E8" s="1" t="s">
        <v>161</v>
      </c>
      <c r="F8" s="6" t="s">
        <v>321</v>
      </c>
    </row>
    <row r="9" ht="15.0" customHeight="1">
      <c r="A9" s="1" t="s">
        <v>323</v>
      </c>
      <c r="B9" s="4">
        <v>1.0</v>
      </c>
      <c r="C9" s="1" t="s">
        <v>381</v>
      </c>
      <c r="D9" s="1" t="s">
        <v>382</v>
      </c>
      <c r="E9" s="1" t="s">
        <v>161</v>
      </c>
      <c r="F9" s="6" t="s">
        <v>383</v>
      </c>
    </row>
    <row r="10" ht="11.25" customHeight="1">
      <c r="A10" s="6" t="s">
        <v>324</v>
      </c>
      <c r="B10" s="4">
        <v>1.0</v>
      </c>
      <c r="C10" s="1" t="s">
        <v>355</v>
      </c>
      <c r="D10" s="1" t="s">
        <v>356</v>
      </c>
      <c r="E10" s="1" t="s">
        <v>161</v>
      </c>
      <c r="F10" s="6" t="s">
        <v>357</v>
      </c>
    </row>
    <row r="11" ht="11.25" customHeight="1">
      <c r="A11" s="6" t="s">
        <v>324</v>
      </c>
      <c r="B11" s="4">
        <v>1.0</v>
      </c>
      <c r="C11" s="1" t="s">
        <v>319</v>
      </c>
      <c r="D11" s="1" t="s">
        <v>320</v>
      </c>
      <c r="E11" s="1" t="s">
        <v>161</v>
      </c>
      <c r="F11" s="6" t="s">
        <v>321</v>
      </c>
    </row>
    <row r="12" ht="15.0" customHeight="1">
      <c r="A12" s="1" t="s">
        <v>324</v>
      </c>
      <c r="B12" s="4">
        <v>1.0</v>
      </c>
      <c r="C12" s="1" t="s">
        <v>381</v>
      </c>
      <c r="D12" s="1" t="s">
        <v>382</v>
      </c>
      <c r="E12" s="1" t="s">
        <v>161</v>
      </c>
      <c r="F12" s="6" t="s">
        <v>383</v>
      </c>
    </row>
    <row r="13" ht="11.25" customHeight="1">
      <c r="A13" s="6" t="s">
        <v>325</v>
      </c>
      <c r="B13" s="4">
        <v>1.0</v>
      </c>
      <c r="C13" s="1" t="s">
        <v>355</v>
      </c>
      <c r="D13" s="1" t="s">
        <v>356</v>
      </c>
      <c r="E13" s="1" t="s">
        <v>161</v>
      </c>
      <c r="F13" s="6" t="s">
        <v>357</v>
      </c>
    </row>
    <row r="14" ht="11.25" customHeight="1">
      <c r="A14" s="6" t="s">
        <v>325</v>
      </c>
      <c r="B14" s="4">
        <v>1.0</v>
      </c>
      <c r="C14" s="1" t="s">
        <v>319</v>
      </c>
      <c r="D14" s="1" t="s">
        <v>320</v>
      </c>
      <c r="E14" s="1" t="s">
        <v>161</v>
      </c>
      <c r="F14" s="6" t="s">
        <v>321</v>
      </c>
    </row>
    <row r="15" ht="15.0" customHeight="1">
      <c r="A15" s="1" t="s">
        <v>325</v>
      </c>
      <c r="B15" s="4">
        <v>1.0</v>
      </c>
      <c r="C15" s="1" t="s">
        <v>381</v>
      </c>
      <c r="D15" s="1" t="s">
        <v>382</v>
      </c>
      <c r="E15" s="1" t="s">
        <v>161</v>
      </c>
      <c r="F15" s="6" t="s">
        <v>383</v>
      </c>
    </row>
    <row r="16" ht="11.25" customHeight="1">
      <c r="A16" s="6" t="s">
        <v>326</v>
      </c>
      <c r="B16" s="4">
        <v>1.0</v>
      </c>
      <c r="C16" s="1" t="s">
        <v>355</v>
      </c>
      <c r="D16" s="1" t="s">
        <v>356</v>
      </c>
      <c r="E16" s="1" t="s">
        <v>161</v>
      </c>
      <c r="F16" s="6" t="s">
        <v>357</v>
      </c>
    </row>
    <row r="17" ht="11.25" customHeight="1">
      <c r="A17" s="6" t="s">
        <v>326</v>
      </c>
      <c r="B17" s="4">
        <v>1.0</v>
      </c>
      <c r="C17" s="1" t="s">
        <v>319</v>
      </c>
      <c r="D17" s="1" t="s">
        <v>320</v>
      </c>
      <c r="E17" s="1" t="s">
        <v>161</v>
      </c>
      <c r="F17" s="6" t="s">
        <v>321</v>
      </c>
    </row>
    <row r="18" ht="15.0" customHeight="1">
      <c r="A18" s="1" t="s">
        <v>326</v>
      </c>
      <c r="B18" s="4">
        <v>1.0</v>
      </c>
      <c r="C18" s="1" t="s">
        <v>381</v>
      </c>
      <c r="D18" s="1" t="s">
        <v>382</v>
      </c>
      <c r="E18" s="1" t="s">
        <v>161</v>
      </c>
      <c r="F18" s="6" t="s">
        <v>383</v>
      </c>
    </row>
    <row r="19" ht="11.25" customHeight="1">
      <c r="A19" s="6" t="s">
        <v>327</v>
      </c>
      <c r="B19" s="4">
        <v>1.0</v>
      </c>
      <c r="C19" s="1" t="s">
        <v>355</v>
      </c>
      <c r="D19" s="1" t="s">
        <v>356</v>
      </c>
      <c r="E19" s="1" t="s">
        <v>161</v>
      </c>
      <c r="F19" s="6" t="s">
        <v>357</v>
      </c>
    </row>
    <row r="20" ht="11.25" customHeight="1">
      <c r="A20" s="6" t="s">
        <v>327</v>
      </c>
      <c r="B20" s="4">
        <v>1.0</v>
      </c>
      <c r="C20" s="1" t="s">
        <v>319</v>
      </c>
      <c r="D20" s="1" t="s">
        <v>320</v>
      </c>
      <c r="E20" s="1" t="s">
        <v>161</v>
      </c>
      <c r="F20" s="6" t="s">
        <v>321</v>
      </c>
    </row>
    <row r="21" ht="15.0" customHeight="1">
      <c r="A21" s="1" t="s">
        <v>327</v>
      </c>
      <c r="B21" s="4">
        <v>1.0</v>
      </c>
      <c r="C21" s="1" t="s">
        <v>381</v>
      </c>
      <c r="D21" s="1" t="s">
        <v>382</v>
      </c>
      <c r="E21" s="1" t="s">
        <v>161</v>
      </c>
      <c r="F21" s="6" t="s">
        <v>383</v>
      </c>
    </row>
    <row r="22" ht="11.25" customHeight="1">
      <c r="A22" s="6" t="s">
        <v>328</v>
      </c>
      <c r="B22" s="4">
        <v>1.0</v>
      </c>
      <c r="C22" s="1" t="s">
        <v>355</v>
      </c>
      <c r="D22" s="1" t="s">
        <v>356</v>
      </c>
      <c r="E22" s="1" t="s">
        <v>161</v>
      </c>
      <c r="F22" s="6" t="s">
        <v>357</v>
      </c>
    </row>
    <row r="23" ht="11.25" customHeight="1">
      <c r="A23" s="6" t="s">
        <v>328</v>
      </c>
      <c r="B23" s="4">
        <v>1.0</v>
      </c>
      <c r="C23" s="1" t="s">
        <v>319</v>
      </c>
      <c r="D23" s="1" t="s">
        <v>320</v>
      </c>
      <c r="E23" s="1" t="s">
        <v>161</v>
      </c>
      <c r="F23" s="6" t="s">
        <v>321</v>
      </c>
    </row>
    <row r="24" ht="15.0" customHeight="1">
      <c r="A24" s="1" t="s">
        <v>328</v>
      </c>
      <c r="B24" s="4">
        <v>1.0</v>
      </c>
      <c r="C24" s="1" t="s">
        <v>381</v>
      </c>
      <c r="D24" s="1" t="s">
        <v>382</v>
      </c>
      <c r="E24" s="1" t="s">
        <v>161</v>
      </c>
      <c r="F24" s="6" t="s">
        <v>383</v>
      </c>
    </row>
    <row r="25" ht="11.25" customHeight="1">
      <c r="A25" s="6" t="s">
        <v>329</v>
      </c>
      <c r="B25" s="4">
        <v>1.0</v>
      </c>
      <c r="C25" s="1" t="s">
        <v>355</v>
      </c>
      <c r="D25" s="1" t="s">
        <v>356</v>
      </c>
      <c r="E25" s="1" t="s">
        <v>161</v>
      </c>
      <c r="F25" s="6" t="s">
        <v>357</v>
      </c>
    </row>
    <row r="26" ht="11.25" customHeight="1">
      <c r="A26" s="6" t="s">
        <v>329</v>
      </c>
      <c r="B26" s="4">
        <v>1.0</v>
      </c>
      <c r="C26" s="1" t="s">
        <v>319</v>
      </c>
      <c r="D26" s="1" t="s">
        <v>320</v>
      </c>
      <c r="E26" s="1" t="s">
        <v>161</v>
      </c>
      <c r="F26" s="6" t="s">
        <v>321</v>
      </c>
    </row>
    <row r="27" ht="15.0" customHeight="1">
      <c r="A27" s="1" t="s">
        <v>329</v>
      </c>
      <c r="B27" s="4">
        <v>1.0</v>
      </c>
      <c r="C27" s="1" t="s">
        <v>381</v>
      </c>
      <c r="D27" s="1" t="s">
        <v>382</v>
      </c>
      <c r="E27" s="1" t="s">
        <v>161</v>
      </c>
      <c r="F27" s="6" t="s">
        <v>383</v>
      </c>
    </row>
    <row r="28" ht="11.25" customHeight="1">
      <c r="A28" s="6" t="s">
        <v>330</v>
      </c>
      <c r="B28" s="4">
        <v>1.0</v>
      </c>
      <c r="C28" s="1" t="s">
        <v>358</v>
      </c>
      <c r="D28" s="1" t="s">
        <v>359</v>
      </c>
      <c r="E28" s="1" t="s">
        <v>161</v>
      </c>
      <c r="F28" s="6" t="s">
        <v>360</v>
      </c>
    </row>
    <row r="29" ht="11.25" customHeight="1">
      <c r="A29" s="6" t="s">
        <v>330</v>
      </c>
      <c r="B29" s="4">
        <v>1.0</v>
      </c>
      <c r="C29" s="1" t="s">
        <v>319</v>
      </c>
      <c r="D29" s="1" t="s">
        <v>320</v>
      </c>
      <c r="E29" s="1" t="s">
        <v>161</v>
      </c>
      <c r="F29" s="6" t="s">
        <v>321</v>
      </c>
    </row>
    <row r="30" ht="15.0" customHeight="1">
      <c r="A30" s="1" t="s">
        <v>330</v>
      </c>
      <c r="B30" s="4">
        <v>1.0</v>
      </c>
      <c r="C30" s="1" t="s">
        <v>381</v>
      </c>
      <c r="D30" s="1" t="s">
        <v>382</v>
      </c>
      <c r="E30" s="1" t="s">
        <v>161</v>
      </c>
      <c r="F30" s="6" t="s">
        <v>383</v>
      </c>
    </row>
    <row r="31" ht="11.25" customHeight="1">
      <c r="A31" s="6" t="s">
        <v>331</v>
      </c>
      <c r="B31" s="4">
        <v>1.0</v>
      </c>
      <c r="C31" s="1" t="s">
        <v>358</v>
      </c>
      <c r="D31" s="1" t="s">
        <v>359</v>
      </c>
      <c r="E31" s="1" t="s">
        <v>161</v>
      </c>
      <c r="F31" s="6" t="s">
        <v>360</v>
      </c>
    </row>
    <row r="32" ht="11.25" customHeight="1">
      <c r="A32" s="6" t="s">
        <v>331</v>
      </c>
      <c r="B32" s="4">
        <v>1.0</v>
      </c>
      <c r="C32" s="1" t="s">
        <v>319</v>
      </c>
      <c r="D32" s="1" t="s">
        <v>320</v>
      </c>
      <c r="E32" s="1" t="s">
        <v>161</v>
      </c>
      <c r="F32" s="6" t="s">
        <v>321</v>
      </c>
    </row>
    <row r="33" ht="15.0" customHeight="1">
      <c r="A33" s="1" t="s">
        <v>331</v>
      </c>
      <c r="B33" s="4">
        <v>1.0</v>
      </c>
      <c r="C33" s="1" t="s">
        <v>381</v>
      </c>
      <c r="D33" s="1" t="s">
        <v>382</v>
      </c>
      <c r="E33" s="1" t="s">
        <v>161</v>
      </c>
      <c r="F33" s="6" t="s">
        <v>383</v>
      </c>
    </row>
    <row r="34" ht="11.25" customHeight="1">
      <c r="A34" s="6" t="s">
        <v>332</v>
      </c>
      <c r="B34" s="4">
        <v>1.0</v>
      </c>
      <c r="C34" s="1" t="s">
        <v>358</v>
      </c>
      <c r="D34" s="1" t="s">
        <v>359</v>
      </c>
      <c r="E34" s="1" t="s">
        <v>161</v>
      </c>
      <c r="F34" s="6" t="s">
        <v>360</v>
      </c>
    </row>
    <row r="35" ht="11.25" customHeight="1">
      <c r="A35" s="6" t="s">
        <v>332</v>
      </c>
      <c r="B35" s="4">
        <v>1.0</v>
      </c>
      <c r="C35" s="1" t="s">
        <v>319</v>
      </c>
      <c r="D35" s="1" t="s">
        <v>320</v>
      </c>
      <c r="E35" s="1" t="s">
        <v>161</v>
      </c>
      <c r="F35" s="6" t="s">
        <v>321</v>
      </c>
    </row>
    <row r="36" ht="15.0" customHeight="1">
      <c r="A36" s="1" t="s">
        <v>332</v>
      </c>
      <c r="B36" s="4">
        <v>1.0</v>
      </c>
      <c r="C36" s="1" t="s">
        <v>381</v>
      </c>
      <c r="D36" s="1" t="s">
        <v>382</v>
      </c>
      <c r="E36" s="1" t="s">
        <v>161</v>
      </c>
      <c r="F36" s="6" t="s">
        <v>383</v>
      </c>
    </row>
    <row r="37" ht="11.25" customHeight="1">
      <c r="A37" s="6" t="s">
        <v>333</v>
      </c>
      <c r="B37" s="4">
        <v>1.0</v>
      </c>
      <c r="C37" s="1" t="s">
        <v>358</v>
      </c>
      <c r="D37" s="1" t="s">
        <v>359</v>
      </c>
      <c r="E37" s="1" t="s">
        <v>161</v>
      </c>
      <c r="F37" s="6" t="s">
        <v>360</v>
      </c>
    </row>
    <row r="38" ht="11.25" customHeight="1">
      <c r="A38" s="6" t="s">
        <v>333</v>
      </c>
      <c r="B38" s="4">
        <v>1.0</v>
      </c>
      <c r="C38" s="1" t="s">
        <v>319</v>
      </c>
      <c r="D38" s="1" t="s">
        <v>320</v>
      </c>
      <c r="E38" s="1" t="s">
        <v>161</v>
      </c>
      <c r="F38" s="6" t="s">
        <v>321</v>
      </c>
    </row>
    <row r="39" ht="15.0" customHeight="1">
      <c r="A39" s="1" t="s">
        <v>333</v>
      </c>
      <c r="B39" s="4">
        <v>1.0</v>
      </c>
      <c r="C39" s="1" t="s">
        <v>381</v>
      </c>
      <c r="D39" s="1" t="s">
        <v>382</v>
      </c>
      <c r="E39" s="1" t="s">
        <v>161</v>
      </c>
      <c r="F39" s="6" t="s">
        <v>383</v>
      </c>
    </row>
    <row r="40" ht="11.25" customHeight="1">
      <c r="A40" s="6" t="s">
        <v>334</v>
      </c>
      <c r="B40" s="4">
        <v>1.0</v>
      </c>
      <c r="C40" s="1" t="s">
        <v>358</v>
      </c>
      <c r="D40" s="1" t="s">
        <v>359</v>
      </c>
      <c r="E40" s="1" t="s">
        <v>161</v>
      </c>
      <c r="F40" s="6" t="s">
        <v>360</v>
      </c>
    </row>
    <row r="41" ht="11.25" customHeight="1">
      <c r="A41" s="6" t="s">
        <v>334</v>
      </c>
      <c r="B41" s="4">
        <v>1.0</v>
      </c>
      <c r="C41" s="1" t="s">
        <v>319</v>
      </c>
      <c r="D41" s="1" t="s">
        <v>320</v>
      </c>
      <c r="E41" s="1" t="s">
        <v>161</v>
      </c>
      <c r="F41" s="6" t="s">
        <v>321</v>
      </c>
    </row>
    <row r="42" ht="15.0" customHeight="1">
      <c r="A42" s="1" t="s">
        <v>334</v>
      </c>
      <c r="B42" s="4">
        <v>1.0</v>
      </c>
      <c r="C42" s="1" t="s">
        <v>381</v>
      </c>
      <c r="D42" s="1" t="s">
        <v>382</v>
      </c>
      <c r="E42" s="1" t="s">
        <v>161</v>
      </c>
      <c r="F42" s="6" t="s">
        <v>383</v>
      </c>
    </row>
    <row r="43" ht="11.25" customHeight="1">
      <c r="A43" s="6" t="s">
        <v>335</v>
      </c>
      <c r="B43" s="4">
        <v>1.0</v>
      </c>
      <c r="C43" s="1" t="s">
        <v>358</v>
      </c>
      <c r="D43" s="1" t="s">
        <v>359</v>
      </c>
      <c r="E43" s="1" t="s">
        <v>161</v>
      </c>
      <c r="F43" s="6" t="s">
        <v>360</v>
      </c>
    </row>
    <row r="44" ht="11.25" customHeight="1">
      <c r="A44" s="6" t="s">
        <v>335</v>
      </c>
      <c r="B44" s="4">
        <v>1.0</v>
      </c>
      <c r="C44" s="1" t="s">
        <v>319</v>
      </c>
      <c r="D44" s="1" t="s">
        <v>320</v>
      </c>
      <c r="E44" s="1" t="s">
        <v>161</v>
      </c>
      <c r="F44" s="6" t="s">
        <v>321</v>
      </c>
    </row>
    <row r="45" ht="15.0" customHeight="1">
      <c r="A45" s="1" t="s">
        <v>335</v>
      </c>
      <c r="B45" s="4">
        <v>1.0</v>
      </c>
      <c r="C45" s="1" t="s">
        <v>381</v>
      </c>
      <c r="D45" s="1" t="s">
        <v>382</v>
      </c>
      <c r="E45" s="1" t="s">
        <v>161</v>
      </c>
      <c r="F45" s="6" t="s">
        <v>383</v>
      </c>
    </row>
    <row r="46" ht="11.25" customHeight="1">
      <c r="A46" s="6" t="s">
        <v>336</v>
      </c>
      <c r="B46" s="4">
        <v>1.0</v>
      </c>
      <c r="C46" s="1" t="s">
        <v>358</v>
      </c>
      <c r="D46" s="1" t="s">
        <v>359</v>
      </c>
      <c r="E46" s="1" t="s">
        <v>161</v>
      </c>
      <c r="F46" s="6" t="s">
        <v>360</v>
      </c>
    </row>
    <row r="47" ht="11.25" customHeight="1">
      <c r="A47" s="6" t="s">
        <v>336</v>
      </c>
      <c r="B47" s="4">
        <v>1.0</v>
      </c>
      <c r="C47" s="1" t="s">
        <v>319</v>
      </c>
      <c r="D47" s="1" t="s">
        <v>320</v>
      </c>
      <c r="E47" s="1" t="s">
        <v>161</v>
      </c>
      <c r="F47" s="6" t="s">
        <v>321</v>
      </c>
    </row>
    <row r="48" ht="15.0" customHeight="1">
      <c r="A48" s="1" t="s">
        <v>336</v>
      </c>
      <c r="B48" s="4">
        <v>1.0</v>
      </c>
      <c r="C48" s="1" t="s">
        <v>381</v>
      </c>
      <c r="D48" s="1" t="s">
        <v>382</v>
      </c>
      <c r="E48" s="1" t="s">
        <v>161</v>
      </c>
      <c r="F48" s="6" t="s">
        <v>383</v>
      </c>
    </row>
    <row r="49" ht="11.25" customHeight="1">
      <c r="A49" s="6" t="s">
        <v>337</v>
      </c>
      <c r="B49" s="4">
        <v>1.0</v>
      </c>
      <c r="C49" s="1" t="s">
        <v>358</v>
      </c>
      <c r="D49" s="1" t="s">
        <v>359</v>
      </c>
      <c r="E49" s="1" t="s">
        <v>161</v>
      </c>
      <c r="F49" s="6" t="s">
        <v>360</v>
      </c>
    </row>
    <row r="50" ht="11.25" customHeight="1">
      <c r="A50" s="6" t="s">
        <v>337</v>
      </c>
      <c r="B50" s="4">
        <v>1.0</v>
      </c>
      <c r="C50" s="1" t="s">
        <v>319</v>
      </c>
      <c r="D50" s="1" t="s">
        <v>320</v>
      </c>
      <c r="E50" s="1" t="s">
        <v>161</v>
      </c>
      <c r="F50" s="6" t="s">
        <v>321</v>
      </c>
    </row>
    <row r="51" ht="15.0" customHeight="1">
      <c r="A51" s="1" t="s">
        <v>337</v>
      </c>
      <c r="B51" s="4">
        <v>1.0</v>
      </c>
      <c r="C51" s="1" t="s">
        <v>381</v>
      </c>
      <c r="D51" s="1" t="s">
        <v>382</v>
      </c>
      <c r="E51" s="1" t="s">
        <v>161</v>
      </c>
      <c r="F51" s="6" t="s">
        <v>383</v>
      </c>
    </row>
    <row r="52" ht="11.25" customHeight="1">
      <c r="A52" s="6" t="s">
        <v>339</v>
      </c>
      <c r="B52" s="4">
        <v>1.0</v>
      </c>
      <c r="C52" s="1" t="s">
        <v>372</v>
      </c>
      <c r="D52" s="1" t="s">
        <v>373</v>
      </c>
      <c r="E52" s="1" t="s">
        <v>161</v>
      </c>
      <c r="F52" s="6" t="s">
        <v>374</v>
      </c>
    </row>
    <row r="53" ht="11.25" customHeight="1">
      <c r="A53" s="6" t="s">
        <v>339</v>
      </c>
      <c r="B53" s="4">
        <v>1.0</v>
      </c>
      <c r="C53" s="1" t="s">
        <v>340</v>
      </c>
      <c r="D53" s="1" t="s">
        <v>341</v>
      </c>
      <c r="E53" s="1" t="s">
        <v>161</v>
      </c>
      <c r="F53" s="6" t="s">
        <v>342</v>
      </c>
    </row>
    <row r="54" ht="11.25" customHeight="1">
      <c r="A54" s="1" t="s">
        <v>339</v>
      </c>
      <c r="B54" s="4">
        <v>1.0</v>
      </c>
      <c r="C54" s="1" t="s">
        <v>384</v>
      </c>
      <c r="D54" s="1" t="s">
        <v>385</v>
      </c>
      <c r="E54" s="1" t="s">
        <v>161</v>
      </c>
      <c r="F54" s="6" t="s">
        <v>386</v>
      </c>
    </row>
    <row r="55" ht="11.25" customHeight="1">
      <c r="A55" s="6" t="s">
        <v>343</v>
      </c>
      <c r="B55" s="4">
        <v>1.0</v>
      </c>
      <c r="C55" s="1" t="s">
        <v>378</v>
      </c>
      <c r="D55" s="1" t="s">
        <v>379</v>
      </c>
      <c r="E55" s="1" t="s">
        <v>161</v>
      </c>
      <c r="F55" s="6" t="s">
        <v>380</v>
      </c>
    </row>
    <row r="56" ht="11.25" customHeight="1">
      <c r="A56" s="6" t="s">
        <v>343</v>
      </c>
      <c r="B56" s="4">
        <v>1.0</v>
      </c>
      <c r="C56" s="1" t="s">
        <v>344</v>
      </c>
      <c r="D56" s="1" t="s">
        <v>345</v>
      </c>
      <c r="E56" s="1" t="s">
        <v>161</v>
      </c>
      <c r="F56" s="6" t="s">
        <v>346</v>
      </c>
    </row>
    <row r="57" ht="11.25" customHeight="1">
      <c r="A57" s="1" t="s">
        <v>343</v>
      </c>
      <c r="B57" s="4">
        <v>1.0</v>
      </c>
      <c r="C57" s="1" t="s">
        <v>384</v>
      </c>
      <c r="D57" s="1" t="s">
        <v>385</v>
      </c>
      <c r="E57" s="1" t="s">
        <v>161</v>
      </c>
      <c r="F57" s="6" t="s">
        <v>386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+ST1-112KF15" location="null!A1" ref="A2"/>
    <hyperlink display="BuR.X20BM11" location="null!A1" ref="F2"/>
    <hyperlink display="+ST1-112KF15" location="null!A51" ref="A3"/>
    <hyperlink display="BuR.X20TB12" location="null!A1" ref="F3"/>
    <hyperlink display="+ST1-113KF16" location="'Table 602'!A1" ref="A4"/>
    <hyperlink display="BuR.X20DI6371" location="'Table 602'!A1" ref="F4"/>
    <hyperlink display="+ST1-113KF16" location="'Table 602'!A1" ref="A5"/>
    <hyperlink display="BuR.X20BM11" location="'Table 602'!A1" ref="F5"/>
    <hyperlink display="BuR.X20TB12" location="'Table 602'!A1" ref="F6"/>
    <hyperlink display="+ST1-113KF17" location="'Table 602'!A3" ref="A7"/>
    <hyperlink display="BuR.X20DI6371" location="'Table 602'!A3" ref="F7"/>
    <hyperlink display="+ST1-113KF17" location="'Table 602'!A3" ref="A8"/>
    <hyperlink display="BuR.X20BM11" location="'Table 602'!A3" ref="F8"/>
    <hyperlink display="BuR.X20TB12" location="'Table 602'!A3" ref="F9"/>
    <hyperlink display="+ST1-113KF18" location="'Table 602'!A6" ref="A10"/>
    <hyperlink display="BuR.X20DI6371" location="'Table 602'!A6" ref="F10"/>
    <hyperlink display="+ST1-113KF18" location="'Table 602'!A6" ref="A11"/>
    <hyperlink display="BuR.X20BM11" location="'Table 602'!A6" ref="F11"/>
    <hyperlink display="BuR.X20TB12" location="'Table 602'!A6" ref="F12"/>
    <hyperlink display="+ST1-113KF19" location="'Table 602'!A9" ref="A13"/>
    <hyperlink display="BuR.X20DI6371" location="'Table 602'!A9" ref="F13"/>
    <hyperlink display="+ST1-113KF19" location="'Table 602'!A9" ref="A14"/>
    <hyperlink display="BuR.X20BM11" location="'Table 602'!A9" ref="F14"/>
    <hyperlink display="BuR.X20TB12" location="'Table 602'!A9" ref="F15"/>
    <hyperlink display="+ST1-113KF20" location="'Table 602'!A12" ref="A16"/>
    <hyperlink display="BuR.X20DI6371" location="'Table 602'!A12" ref="F16"/>
    <hyperlink display="+ST1-113KF20" location="'Table 602'!A12" ref="A17"/>
    <hyperlink display="BuR.X20BM11" location="'Table 602'!A12" ref="F17"/>
    <hyperlink display="BuR.X20TB12" location="'Table 602'!A12" ref="F18"/>
    <hyperlink display="+ST1-113KF21" location="'Table 602'!A15" ref="A19"/>
    <hyperlink display="BuR.X20DI6371" location="'Table 602'!A15" ref="F19"/>
    <hyperlink display="+ST1-113KF21" location="'Table 602'!A15" ref="A20"/>
    <hyperlink display="BuR.X20BM11" location="'Table 602'!A15" ref="F20"/>
    <hyperlink display="BuR.X20TB12" location="'Table 602'!A15" ref="F21"/>
    <hyperlink display="+ST1-113KF22" location="'Table 602'!A18" ref="A22"/>
    <hyperlink display="BuR.X20DI6371" location="'Table 602'!A18" ref="F22"/>
    <hyperlink display="+ST1-113KF22" location="'Table 602'!A18" ref="A23"/>
    <hyperlink display="BuR.X20BM11" location="'Table 602'!A18" ref="F23"/>
    <hyperlink display="BuR.X20TB12" location="'Table 602'!A18" ref="F24"/>
    <hyperlink display="+ST1-113KF23" location="'Table 602'!A21" ref="A25"/>
    <hyperlink display="BuR.X20DI6371" location="'Table 602'!A21" ref="F25"/>
    <hyperlink display="+ST1-113KF23" location="'Table 602'!A21" ref="A26"/>
    <hyperlink display="BuR.X20BM11" location="'Table 602'!A21" ref="F26"/>
    <hyperlink display="BuR.X20TB12" location="'Table 602'!A21" ref="F27"/>
    <hyperlink display="+ST1-114KF24" location="'Table 602'!A24" ref="A28"/>
    <hyperlink display="BuR.X20DO6322" location="'Table 602'!A24" ref="F28"/>
    <hyperlink display="+ST1-114KF24" location="'Table 602'!A24" ref="A29"/>
    <hyperlink display="BuR.X20BM11" location="'Table 602'!A24" ref="F29"/>
    <hyperlink display="BuR.X20TB12" location="'Table 602'!A24" ref="F30"/>
    <hyperlink display="+ST1-114KF25" location="'Table 602'!A27" ref="A31"/>
    <hyperlink display="BuR.X20DO6322" location="'Table 602'!A27" ref="F31"/>
    <hyperlink display="+ST1-114KF25" location="'Table 602'!A27" ref="A32"/>
    <hyperlink display="BuR.X20BM11" location="'Table 602'!A27" ref="F32"/>
    <hyperlink display="BuR.X20TB12" location="'Table 602'!A27" ref="F33"/>
    <hyperlink display="+ST1-114KF26" location="'Table 602'!A30" ref="A34"/>
    <hyperlink display="BuR.X20DO6322" location="'Table 602'!A30" ref="F34"/>
    <hyperlink display="+ST1-114KF26" location="'Table 602'!A30" ref="A35"/>
    <hyperlink display="BuR.X20BM11" location="'Table 602'!A30" ref="F35"/>
    <hyperlink display="BuR.X20TB12" location="'Table 602'!A30" ref="F36"/>
    <hyperlink display="+ST1-114KF27" location="'Table 602'!A33" ref="A37"/>
    <hyperlink display="BuR.X20DO6322" location="'Table 602'!A33" ref="F37"/>
    <hyperlink display="+ST1-114KF27" location="'Table 602'!A33" ref="A38"/>
    <hyperlink display="BuR.X20BM11" location="'Table 602'!A33" ref="F38"/>
    <hyperlink display="BuR.X20TB12" location="'Table 602'!A33" ref="F39"/>
    <hyperlink display="+ST1-114KF28" location="'Table 602'!A36" ref="A40"/>
    <hyperlink display="BuR.X20DO6322" location="'Table 602'!A36" ref="F40"/>
    <hyperlink display="+ST1-114KF28" location="'Table 602'!A36" ref="A41"/>
    <hyperlink display="BuR.X20BM11" location="'Table 602'!A36" ref="F41"/>
    <hyperlink display="BuR.X20TB12" location="'Table 602'!A36" ref="F42"/>
    <hyperlink display="+ST1-114KF29" location="'Table 602'!A39" ref="A43"/>
    <hyperlink display="BuR.X20DO6322" location="'Table 602'!A39" ref="F43"/>
    <hyperlink display="+ST1-114KF29" location="'Table 602'!A39" ref="A44"/>
    <hyperlink display="BuR.X20BM11" location="'Table 602'!A39" ref="F44"/>
    <hyperlink display="BuR.X20TB12" location="'Table 602'!A39" ref="F45"/>
    <hyperlink display="+ST1-114KF30" location="'Table 602'!A42" ref="A46"/>
    <hyperlink display="BuR.X20DO6322" location="'Table 602'!A42" ref="F46"/>
    <hyperlink display="+ST1-114KF30" location="'Table 602'!A42" ref="A47"/>
    <hyperlink display="BuR.X20BM11" location="'Table 602'!A42" ref="F47"/>
    <hyperlink display="BuR.X20TB12" location="'Table 602'!A42" ref="F48"/>
    <hyperlink display="+ST1-114KF31" location="'Table 602'!A45" ref="A49"/>
    <hyperlink display="BuR.X20DO6322" location="'Table 602'!A45" ref="F49"/>
    <hyperlink display="+ST1-114KF31" location="'Table 602'!A45" ref="A50"/>
    <hyperlink display="BuR.X20BM11" location="'Table 602'!A45" ref="F50"/>
    <hyperlink display="BuR.X20TB12" location="'Table 602'!A45" ref="F51"/>
    <hyperlink display="+ST1-115KF51" location="'Table 602'!A48" ref="A52"/>
    <hyperlink display="BuR.X20SI8110" location="'Table 602'!A48" ref="F52"/>
    <hyperlink display="+ST1-115KF51" location="'Table 602'!A48" ref="A53"/>
    <hyperlink display="BuR.X20BM13" location="'Table 602'!A48" ref="F53"/>
    <hyperlink display="BuR.X20TB52" location="'Table 602'!A48" ref="F54"/>
    <hyperlink display="+ST1-115KF52" location="'Table 602'!A51" ref="A55"/>
    <hyperlink display="BuR.X20SO6300" location="'Table 602'!A51" ref="F55"/>
    <hyperlink display="+ST1-115KF52" location="'Table 602'!A51" ref="A56"/>
    <hyperlink display="BuR.X20BM36" location="'Table 602'!A51" ref="F56"/>
    <hyperlink display="BuR.X20TB52" location="'Table 602'!A51" ref="F57"/>
  </hyperlinks>
  <printOptions/>
  <pageMargins bottom="0.7875" footer="0.0" header="0.0" left="0.7875" right="0.7875" top="0.78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45.0" customHeight="1">
      <c r="A1" s="2" t="s">
        <v>1911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5.0" customHeight="1">
      <c r="A2" s="6" t="s">
        <v>347</v>
      </c>
      <c r="B2" s="4">
        <v>1.0</v>
      </c>
      <c r="C2" s="1" t="s">
        <v>369</v>
      </c>
      <c r="D2" s="1" t="s">
        <v>370</v>
      </c>
      <c r="E2" s="1" t="s">
        <v>161</v>
      </c>
      <c r="F2" s="6" t="s">
        <v>371</v>
      </c>
    </row>
    <row r="3" ht="11.25" customHeight="1">
      <c r="A3" s="6" t="s">
        <v>347</v>
      </c>
      <c r="B3" s="4">
        <v>1.0</v>
      </c>
      <c r="C3" s="1" t="s">
        <v>344</v>
      </c>
      <c r="D3" s="1" t="s">
        <v>345</v>
      </c>
      <c r="E3" s="1" t="s">
        <v>161</v>
      </c>
      <c r="F3" s="6" t="s">
        <v>346</v>
      </c>
    </row>
    <row r="4" ht="15.0" customHeight="1">
      <c r="A4" s="1" t="s">
        <v>347</v>
      </c>
      <c r="B4" s="4">
        <v>1.0</v>
      </c>
      <c r="C4" s="1" t="s">
        <v>384</v>
      </c>
      <c r="D4" s="1" t="s">
        <v>385</v>
      </c>
      <c r="E4" s="1" t="s">
        <v>161</v>
      </c>
      <c r="F4" s="6" t="s">
        <v>386</v>
      </c>
    </row>
    <row r="5" ht="15.0" customHeight="1">
      <c r="A5" s="6" t="s">
        <v>348</v>
      </c>
      <c r="B5" s="4">
        <v>0.0</v>
      </c>
      <c r="C5" s="1" t="s">
        <v>369</v>
      </c>
      <c r="D5" s="1" t="s">
        <v>370</v>
      </c>
      <c r="E5" s="1" t="s">
        <v>161</v>
      </c>
      <c r="F5" s="6" t="s">
        <v>371</v>
      </c>
    </row>
    <row r="6" ht="15.0" customHeight="1">
      <c r="A6" s="6" t="s">
        <v>348</v>
      </c>
      <c r="B6" s="4">
        <v>0.0</v>
      </c>
      <c r="C6" s="1" t="s">
        <v>344</v>
      </c>
      <c r="D6" s="1" t="s">
        <v>345</v>
      </c>
      <c r="E6" s="1" t="s">
        <v>161</v>
      </c>
      <c r="F6" s="6" t="s">
        <v>346</v>
      </c>
    </row>
    <row r="7" ht="15.0" customHeight="1">
      <c r="A7" s="1" t="s">
        <v>348</v>
      </c>
      <c r="B7" s="4">
        <v>1.0</v>
      </c>
      <c r="C7" s="1" t="s">
        <v>384</v>
      </c>
      <c r="D7" s="1" t="s">
        <v>385</v>
      </c>
      <c r="E7" s="1" t="s">
        <v>161</v>
      </c>
      <c r="F7" s="6" t="s">
        <v>386</v>
      </c>
    </row>
    <row r="8" ht="15.0" customHeight="1">
      <c r="A8" s="6" t="s">
        <v>338</v>
      </c>
      <c r="B8" s="4">
        <v>1.0</v>
      </c>
      <c r="C8" s="1" t="s">
        <v>352</v>
      </c>
      <c r="D8" s="1" t="s">
        <v>353</v>
      </c>
      <c r="E8" s="1" t="s">
        <v>161</v>
      </c>
      <c r="F8" s="6" t="s">
        <v>354</v>
      </c>
    </row>
    <row r="9" ht="15.0" customHeight="1">
      <c r="A9" s="6" t="s">
        <v>338</v>
      </c>
      <c r="B9" s="4">
        <v>1.0</v>
      </c>
      <c r="C9" s="1" t="s">
        <v>319</v>
      </c>
      <c r="D9" s="1" t="s">
        <v>320</v>
      </c>
      <c r="E9" s="1" t="s">
        <v>161</v>
      </c>
      <c r="F9" s="6" t="s">
        <v>321</v>
      </c>
    </row>
    <row r="10" ht="15.0" customHeight="1">
      <c r="A10" s="1" t="s">
        <v>338</v>
      </c>
      <c r="B10" s="4">
        <v>1.0</v>
      </c>
      <c r="C10" s="1" t="s">
        <v>381</v>
      </c>
      <c r="D10" s="1" t="s">
        <v>382</v>
      </c>
      <c r="E10" s="1" t="s">
        <v>161</v>
      </c>
      <c r="F10" s="6" t="s">
        <v>383</v>
      </c>
    </row>
    <row r="11" ht="11.25" customHeight="1">
      <c r="A11" s="1" t="s">
        <v>149</v>
      </c>
      <c r="B11" s="4">
        <v>1.0</v>
      </c>
      <c r="C11" s="1" t="s">
        <v>150</v>
      </c>
      <c r="D11" s="1" t="s">
        <v>151</v>
      </c>
      <c r="E11" s="1" t="s">
        <v>152</v>
      </c>
      <c r="F11" s="6" t="s">
        <v>153</v>
      </c>
    </row>
    <row r="12" ht="15.0" customHeight="1">
      <c r="A12" s="1" t="s">
        <v>154</v>
      </c>
      <c r="B12" s="4">
        <v>1.0</v>
      </c>
      <c r="C12" s="1" t="s">
        <v>150</v>
      </c>
      <c r="D12" s="1" t="s">
        <v>151</v>
      </c>
      <c r="E12" s="1" t="s">
        <v>152</v>
      </c>
      <c r="F12" s="6" t="s">
        <v>153</v>
      </c>
    </row>
    <row r="13" ht="11.25" customHeight="1">
      <c r="A13" s="1" t="s">
        <v>269</v>
      </c>
      <c r="B13" s="4">
        <v>1.0</v>
      </c>
      <c r="C13" s="1" t="s">
        <v>265</v>
      </c>
      <c r="D13" s="1" t="s">
        <v>270</v>
      </c>
      <c r="E13" s="1" t="s">
        <v>267</v>
      </c>
      <c r="F13" s="6" t="s">
        <v>271</v>
      </c>
    </row>
    <row r="14" ht="15.0" customHeight="1">
      <c r="A14" s="1" t="s">
        <v>264</v>
      </c>
      <c r="B14" s="4">
        <v>1.0</v>
      </c>
      <c r="C14" s="1" t="s">
        <v>265</v>
      </c>
      <c r="D14" s="1" t="s">
        <v>266</v>
      </c>
      <c r="E14" s="1" t="s">
        <v>267</v>
      </c>
      <c r="F14" s="6" t="s">
        <v>268</v>
      </c>
    </row>
    <row r="15" ht="11.25" customHeight="1">
      <c r="A15" s="1" t="s">
        <v>389</v>
      </c>
      <c r="B15" s="4">
        <v>0.0</v>
      </c>
      <c r="C15" s="5"/>
      <c r="D15" s="5"/>
      <c r="E15" s="5"/>
      <c r="F15" s="5"/>
    </row>
    <row r="16" ht="11.25" customHeight="1">
      <c r="A16" s="1" t="s">
        <v>184</v>
      </c>
      <c r="B16" s="4">
        <v>1.0</v>
      </c>
      <c r="C16" s="1" t="s">
        <v>185</v>
      </c>
      <c r="D16" s="1" t="s">
        <v>186</v>
      </c>
      <c r="E16" s="5"/>
      <c r="F16" s="6" t="s">
        <v>187</v>
      </c>
    </row>
    <row r="17" ht="15.0" customHeight="1">
      <c r="A17" s="1" t="s">
        <v>184</v>
      </c>
      <c r="B17" s="4">
        <v>0.0</v>
      </c>
      <c r="C17" s="7"/>
      <c r="D17" s="7"/>
      <c r="E17" s="7"/>
      <c r="F17" s="7"/>
    </row>
    <row r="18" ht="11.25" customHeight="1">
      <c r="A18" s="1" t="s">
        <v>142</v>
      </c>
      <c r="B18" s="4">
        <v>1.0</v>
      </c>
      <c r="C18" s="1" t="s">
        <v>143</v>
      </c>
      <c r="D18" s="1" t="s">
        <v>144</v>
      </c>
      <c r="E18" s="1" t="s">
        <v>120</v>
      </c>
      <c r="F18" s="6" t="s">
        <v>145</v>
      </c>
    </row>
    <row r="19" ht="11.25" customHeight="1">
      <c r="A19" s="6" t="s">
        <v>138</v>
      </c>
      <c r="B19" s="4">
        <v>1.0</v>
      </c>
      <c r="C19" s="1" t="s">
        <v>139</v>
      </c>
      <c r="D19" s="1" t="s">
        <v>140</v>
      </c>
      <c r="E19" s="1" t="s">
        <v>120</v>
      </c>
      <c r="F19" s="6" t="s">
        <v>141</v>
      </c>
    </row>
    <row r="20" ht="15.0" customHeight="1">
      <c r="A20" s="1" t="s">
        <v>138</v>
      </c>
      <c r="B20" s="4">
        <v>1.0</v>
      </c>
      <c r="C20" s="1" t="s">
        <v>146</v>
      </c>
      <c r="D20" s="1" t="s">
        <v>147</v>
      </c>
      <c r="E20" s="1" t="s">
        <v>120</v>
      </c>
      <c r="F20" s="6" t="s">
        <v>148</v>
      </c>
    </row>
    <row r="21" ht="11.25" customHeight="1">
      <c r="A21" s="6" t="s">
        <v>117</v>
      </c>
      <c r="B21" s="4">
        <v>1.0</v>
      </c>
      <c r="C21" s="1" t="s">
        <v>132</v>
      </c>
      <c r="D21" s="1" t="s">
        <v>133</v>
      </c>
      <c r="E21" s="1" t="s">
        <v>120</v>
      </c>
      <c r="F21" s="6" t="s">
        <v>134</v>
      </c>
    </row>
    <row r="22" ht="11.25" customHeight="1">
      <c r="A22" s="6" t="s">
        <v>117</v>
      </c>
      <c r="B22" s="4">
        <v>1.0</v>
      </c>
      <c r="C22" s="1" t="s">
        <v>118</v>
      </c>
      <c r="D22" s="1" t="s">
        <v>119</v>
      </c>
      <c r="E22" s="1" t="s">
        <v>120</v>
      </c>
      <c r="F22" s="6" t="s">
        <v>121</v>
      </c>
    </row>
    <row r="23" ht="15.0" customHeight="1">
      <c r="A23" s="1" t="s">
        <v>117</v>
      </c>
      <c r="B23" s="4">
        <v>1.0</v>
      </c>
      <c r="C23" s="1" t="s">
        <v>135</v>
      </c>
      <c r="D23" s="1" t="s">
        <v>136</v>
      </c>
      <c r="E23" s="1" t="s">
        <v>120</v>
      </c>
      <c r="F23" s="6" t="s">
        <v>137</v>
      </c>
    </row>
    <row r="24" ht="11.25" customHeight="1">
      <c r="A24" s="6" t="s">
        <v>122</v>
      </c>
      <c r="B24" s="4">
        <v>1.0</v>
      </c>
      <c r="C24" s="1" t="s">
        <v>132</v>
      </c>
      <c r="D24" s="1" t="s">
        <v>133</v>
      </c>
      <c r="E24" s="1" t="s">
        <v>120</v>
      </c>
      <c r="F24" s="6" t="s">
        <v>134</v>
      </c>
    </row>
    <row r="25" ht="11.25" customHeight="1">
      <c r="A25" s="6" t="s">
        <v>122</v>
      </c>
      <c r="B25" s="4">
        <v>1.0</v>
      </c>
      <c r="C25" s="1" t="s">
        <v>118</v>
      </c>
      <c r="D25" s="1" t="s">
        <v>119</v>
      </c>
      <c r="E25" s="1" t="s">
        <v>120</v>
      </c>
      <c r="F25" s="6" t="s">
        <v>121</v>
      </c>
    </row>
    <row r="26" ht="15.0" customHeight="1">
      <c r="A26" s="1" t="s">
        <v>122</v>
      </c>
      <c r="B26" s="4">
        <v>1.0</v>
      </c>
      <c r="C26" s="1" t="s">
        <v>135</v>
      </c>
      <c r="D26" s="1" t="s">
        <v>136</v>
      </c>
      <c r="E26" s="1" t="s">
        <v>120</v>
      </c>
      <c r="F26" s="6" t="s">
        <v>137</v>
      </c>
    </row>
    <row r="27" ht="11.25" customHeight="1">
      <c r="A27" s="6" t="s">
        <v>123</v>
      </c>
      <c r="B27" s="4">
        <v>1.0</v>
      </c>
      <c r="C27" s="1" t="s">
        <v>129</v>
      </c>
      <c r="D27" s="1" t="s">
        <v>130</v>
      </c>
      <c r="E27" s="1" t="s">
        <v>120</v>
      </c>
      <c r="F27" s="6" t="s">
        <v>131</v>
      </c>
    </row>
    <row r="28" ht="15.0" customHeight="1">
      <c r="A28" s="6" t="s">
        <v>123</v>
      </c>
      <c r="B28" s="4">
        <v>1.0</v>
      </c>
      <c r="C28" s="1" t="s">
        <v>118</v>
      </c>
      <c r="D28" s="1" t="s">
        <v>119</v>
      </c>
      <c r="E28" s="1" t="s">
        <v>120</v>
      </c>
      <c r="F28" s="6" t="s">
        <v>121</v>
      </c>
    </row>
    <row r="29" ht="15.0" customHeight="1">
      <c r="A29" s="1" t="s">
        <v>123</v>
      </c>
      <c r="B29" s="4">
        <v>1.0</v>
      </c>
      <c r="C29" s="1" t="s">
        <v>135</v>
      </c>
      <c r="D29" s="1" t="s">
        <v>136</v>
      </c>
      <c r="E29" s="1" t="s">
        <v>120</v>
      </c>
      <c r="F29" s="6" t="s">
        <v>137</v>
      </c>
    </row>
    <row r="30" ht="15.0" customHeight="1">
      <c r="A30" s="6" t="s">
        <v>124</v>
      </c>
      <c r="B30" s="4">
        <v>1.0</v>
      </c>
      <c r="C30" s="1" t="s">
        <v>129</v>
      </c>
      <c r="D30" s="1" t="s">
        <v>130</v>
      </c>
      <c r="E30" s="1" t="s">
        <v>120</v>
      </c>
      <c r="F30" s="6" t="s">
        <v>131</v>
      </c>
    </row>
    <row r="31" ht="11.25" customHeight="1">
      <c r="A31" s="6" t="s">
        <v>124</v>
      </c>
      <c r="B31" s="4">
        <v>1.0</v>
      </c>
      <c r="C31" s="1" t="s">
        <v>118</v>
      </c>
      <c r="D31" s="1" t="s">
        <v>119</v>
      </c>
      <c r="E31" s="1" t="s">
        <v>120</v>
      </c>
      <c r="F31" s="6" t="s">
        <v>121</v>
      </c>
    </row>
    <row r="32" ht="11.25" customHeight="1">
      <c r="A32" s="1" t="s">
        <v>124</v>
      </c>
      <c r="B32" s="4">
        <v>1.0</v>
      </c>
      <c r="C32" s="1" t="s">
        <v>135</v>
      </c>
      <c r="D32" s="1" t="s">
        <v>136</v>
      </c>
      <c r="E32" s="1" t="s">
        <v>120</v>
      </c>
      <c r="F32" s="6" t="s">
        <v>137</v>
      </c>
    </row>
    <row r="33" ht="11.25" customHeight="1">
      <c r="A33" s="6" t="s">
        <v>125</v>
      </c>
      <c r="B33" s="4">
        <v>1.0</v>
      </c>
      <c r="C33" s="1" t="s">
        <v>126</v>
      </c>
      <c r="D33" s="1" t="s">
        <v>127</v>
      </c>
      <c r="E33" s="1" t="s">
        <v>120</v>
      </c>
      <c r="F33" s="6" t="s">
        <v>128</v>
      </c>
    </row>
    <row r="34" ht="15.0" customHeight="1">
      <c r="A34" s="1" t="s">
        <v>125</v>
      </c>
      <c r="B34" s="4">
        <v>1.0</v>
      </c>
      <c r="C34" s="1" t="s">
        <v>135</v>
      </c>
      <c r="D34" s="1" t="s">
        <v>136</v>
      </c>
      <c r="E34" s="1" t="s">
        <v>120</v>
      </c>
      <c r="F34" s="6" t="s">
        <v>137</v>
      </c>
    </row>
    <row r="35" ht="15.0" customHeight="1">
      <c r="A35" s="1" t="s">
        <v>188</v>
      </c>
      <c r="B35" s="4">
        <v>1.0</v>
      </c>
      <c r="C35" s="1" t="s">
        <v>189</v>
      </c>
      <c r="D35" s="1" t="s">
        <v>190</v>
      </c>
      <c r="E35" s="7"/>
      <c r="F35" s="6" t="s">
        <v>191</v>
      </c>
    </row>
    <row r="36" ht="15.0" customHeight="1">
      <c r="A36" s="1" t="s">
        <v>260</v>
      </c>
      <c r="B36" s="4">
        <v>1.0</v>
      </c>
      <c r="C36" s="1" t="s">
        <v>261</v>
      </c>
      <c r="D36" s="1" t="s">
        <v>262</v>
      </c>
      <c r="E36" s="1" t="s">
        <v>238</v>
      </c>
      <c r="F36" s="6" t="s">
        <v>263</v>
      </c>
    </row>
    <row r="37" ht="15.0" customHeight="1">
      <c r="A37" s="6" t="s">
        <v>231</v>
      </c>
      <c r="B37" s="4">
        <v>1.0</v>
      </c>
      <c r="C37" s="1" t="s">
        <v>251</v>
      </c>
      <c r="D37" s="1" t="s">
        <v>252</v>
      </c>
      <c r="E37" s="1" t="s">
        <v>238</v>
      </c>
      <c r="F37" s="6" t="s">
        <v>253</v>
      </c>
    </row>
    <row r="38" ht="15.0" customHeight="1">
      <c r="A38" s="6" t="s">
        <v>231</v>
      </c>
      <c r="B38" s="4">
        <v>1.0</v>
      </c>
      <c r="C38" s="1" t="s">
        <v>232</v>
      </c>
      <c r="D38" s="1" t="s">
        <v>233</v>
      </c>
      <c r="E38" s="7"/>
      <c r="F38" s="6" t="s">
        <v>234</v>
      </c>
    </row>
    <row r="39" ht="15.0" customHeight="1">
      <c r="A39" s="6" t="s">
        <v>231</v>
      </c>
      <c r="B39" s="4">
        <v>1.0</v>
      </c>
      <c r="C39" s="1" t="s">
        <v>240</v>
      </c>
      <c r="D39" s="1" t="s">
        <v>241</v>
      </c>
      <c r="E39" s="1" t="s">
        <v>238</v>
      </c>
      <c r="F39" s="6" t="s">
        <v>242</v>
      </c>
    </row>
    <row r="40" ht="11.25" customHeight="1">
      <c r="A40" s="1" t="s">
        <v>231</v>
      </c>
      <c r="B40" s="4">
        <v>1.0</v>
      </c>
      <c r="C40" s="1" t="s">
        <v>257</v>
      </c>
      <c r="D40" s="1" t="s">
        <v>258</v>
      </c>
      <c r="E40" s="1" t="s">
        <v>238</v>
      </c>
      <c r="F40" s="6" t="s">
        <v>259</v>
      </c>
    </row>
    <row r="41" ht="11.25" customHeight="1">
      <c r="A41" s="1" t="s">
        <v>390</v>
      </c>
      <c r="B41" s="4">
        <v>0.0</v>
      </c>
      <c r="C41" s="5"/>
      <c r="D41" s="5"/>
      <c r="E41" s="5"/>
      <c r="F41" s="5"/>
    </row>
    <row r="42" ht="11.25" customHeight="1">
      <c r="A42" s="1" t="s">
        <v>391</v>
      </c>
      <c r="B42" s="4">
        <v>0.0</v>
      </c>
      <c r="C42" s="5"/>
      <c r="D42" s="5"/>
      <c r="E42" s="5"/>
      <c r="F42" s="5"/>
    </row>
    <row r="43" ht="11.25" customHeight="1">
      <c r="A43" s="1" t="s">
        <v>280</v>
      </c>
      <c r="B43" s="4">
        <v>1.0</v>
      </c>
      <c r="C43" s="1" t="s">
        <v>281</v>
      </c>
      <c r="D43" s="1" t="s">
        <v>282</v>
      </c>
      <c r="E43" s="1" t="s">
        <v>215</v>
      </c>
      <c r="F43" s="6" t="s">
        <v>283</v>
      </c>
    </row>
    <row r="44" ht="11.25" customHeight="1">
      <c r="A44" s="1" t="s">
        <v>212</v>
      </c>
      <c r="B44" s="4">
        <v>1.0</v>
      </c>
      <c r="C44" s="1" t="s">
        <v>213</v>
      </c>
      <c r="D44" s="1" t="s">
        <v>214</v>
      </c>
      <c r="E44" s="1" t="s">
        <v>215</v>
      </c>
      <c r="F44" s="6" t="s">
        <v>216</v>
      </c>
    </row>
    <row r="45" ht="11.25" customHeight="1">
      <c r="A45" s="1" t="s">
        <v>392</v>
      </c>
      <c r="B45" s="4">
        <v>0.0</v>
      </c>
      <c r="C45" s="5"/>
      <c r="D45" s="5"/>
      <c r="E45" s="5"/>
      <c r="F45" s="5"/>
    </row>
    <row r="46" ht="11.25" customHeight="1">
      <c r="A46" s="1" t="s">
        <v>10</v>
      </c>
      <c r="B46" s="4">
        <v>2.0</v>
      </c>
      <c r="C46" s="1" t="s">
        <v>65</v>
      </c>
      <c r="D46" s="1" t="s">
        <v>66</v>
      </c>
      <c r="E46" s="1" t="s">
        <v>13</v>
      </c>
      <c r="F46" s="1" t="s">
        <v>67</v>
      </c>
    </row>
    <row r="47" ht="15.0" customHeight="1">
      <c r="A47" s="1" t="s">
        <v>10</v>
      </c>
      <c r="B47" s="4">
        <v>1.0</v>
      </c>
      <c r="C47" s="1" t="s">
        <v>23</v>
      </c>
      <c r="D47" s="1" t="s">
        <v>24</v>
      </c>
      <c r="E47" s="1" t="s">
        <v>13</v>
      </c>
      <c r="F47" s="1" t="s">
        <v>25</v>
      </c>
    </row>
    <row r="48" ht="11.25" customHeight="1">
      <c r="A48" s="1" t="s">
        <v>10</v>
      </c>
      <c r="B48" s="4">
        <v>2.0</v>
      </c>
      <c r="C48" s="1" t="s">
        <v>100</v>
      </c>
      <c r="D48" s="1" t="s">
        <v>101</v>
      </c>
      <c r="E48" s="1" t="s">
        <v>13</v>
      </c>
      <c r="F48" s="1" t="s">
        <v>102</v>
      </c>
    </row>
    <row r="49" ht="11.25" customHeight="1">
      <c r="A49" s="1" t="s">
        <v>10</v>
      </c>
      <c r="B49" s="4">
        <v>2.0</v>
      </c>
      <c r="C49" s="1" t="s">
        <v>104</v>
      </c>
      <c r="D49" s="1" t="s">
        <v>105</v>
      </c>
      <c r="E49" s="1" t="s">
        <v>13</v>
      </c>
      <c r="F49" s="1" t="s">
        <v>106</v>
      </c>
    </row>
    <row r="50" ht="11.25" customHeight="1">
      <c r="A50" s="1" t="s">
        <v>10</v>
      </c>
      <c r="B50" s="4">
        <v>1.0</v>
      </c>
      <c r="C50" s="1" t="s">
        <v>23</v>
      </c>
      <c r="D50" s="1" t="s">
        <v>38</v>
      </c>
      <c r="E50" s="1" t="s">
        <v>13</v>
      </c>
      <c r="F50" s="1" t="s">
        <v>39</v>
      </c>
    </row>
    <row r="51" ht="11.25" customHeight="1">
      <c r="A51" s="1" t="s">
        <v>10</v>
      </c>
      <c r="B51" s="4">
        <v>4.0</v>
      </c>
      <c r="C51" s="1" t="s">
        <v>11</v>
      </c>
      <c r="D51" s="1" t="s">
        <v>12</v>
      </c>
      <c r="E51" s="1" t="s">
        <v>13</v>
      </c>
      <c r="F51" s="1" t="s">
        <v>14</v>
      </c>
    </row>
    <row r="52" ht="11.25" customHeight="1">
      <c r="A52" s="6" t="s">
        <v>10</v>
      </c>
      <c r="B52" s="4">
        <v>1.0</v>
      </c>
      <c r="C52" s="1" t="s">
        <v>11</v>
      </c>
      <c r="D52" s="1" t="s">
        <v>18</v>
      </c>
      <c r="E52" s="1" t="s">
        <v>13</v>
      </c>
      <c r="F52" s="6" t="s">
        <v>19</v>
      </c>
    </row>
    <row r="53" ht="11.25" customHeight="1">
      <c r="A53" s="6" t="s">
        <v>10</v>
      </c>
      <c r="B53" s="4">
        <v>1.0</v>
      </c>
      <c r="C53" s="1" t="s">
        <v>20</v>
      </c>
      <c r="D53" s="1" t="s">
        <v>21</v>
      </c>
      <c r="E53" s="1" t="s">
        <v>13</v>
      </c>
      <c r="F53" s="6" t="s">
        <v>22</v>
      </c>
    </row>
    <row r="54" ht="11.25" customHeight="1">
      <c r="A54" s="1" t="s">
        <v>15</v>
      </c>
      <c r="B54" s="4">
        <v>1.0</v>
      </c>
      <c r="C54" s="1" t="s">
        <v>23</v>
      </c>
      <c r="D54" s="1" t="s">
        <v>24</v>
      </c>
      <c r="E54" s="1" t="s">
        <v>13</v>
      </c>
      <c r="F54" s="1" t="s">
        <v>25</v>
      </c>
    </row>
    <row r="55" ht="11.25" customHeight="1">
      <c r="A55" s="1" t="s">
        <v>15</v>
      </c>
      <c r="B55" s="4">
        <v>1.0</v>
      </c>
      <c r="C55" s="1" t="s">
        <v>100</v>
      </c>
      <c r="D55" s="1" t="s">
        <v>101</v>
      </c>
      <c r="E55" s="1" t="s">
        <v>13</v>
      </c>
      <c r="F55" s="1" t="s">
        <v>102</v>
      </c>
    </row>
    <row r="56" ht="11.25" customHeight="1">
      <c r="A56" s="1" t="s">
        <v>15</v>
      </c>
      <c r="B56" s="4">
        <v>1.0</v>
      </c>
      <c r="C56" s="1" t="s">
        <v>104</v>
      </c>
      <c r="D56" s="1" t="s">
        <v>105</v>
      </c>
      <c r="E56" s="1" t="s">
        <v>13</v>
      </c>
      <c r="F56" s="1" t="s">
        <v>106</v>
      </c>
    </row>
    <row r="57" ht="11.25" customHeight="1">
      <c r="A57" s="1" t="s">
        <v>15</v>
      </c>
      <c r="B57" s="4">
        <v>14.0</v>
      </c>
      <c r="C57" s="1" t="s">
        <v>11</v>
      </c>
      <c r="D57" s="1" t="s">
        <v>12</v>
      </c>
      <c r="E57" s="1" t="s">
        <v>13</v>
      </c>
      <c r="F57" s="1" t="s">
        <v>14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+ST1-115KF53a" location="'Table 606'!A1" ref="A2"/>
    <hyperlink display="BuR.X20SC0842" location="'Table 606'!A1" ref="F2"/>
    <hyperlink display="+ST1-115KF53a" location="'Table 606'!A1" ref="A3"/>
    <hyperlink display="BuR.X20BM36" location="'Table 606'!A1" ref="F3"/>
    <hyperlink display="BuR.X20TB52" location="'Table 606'!A1" ref="F4"/>
    <hyperlink display="+ST1-115KF53b" location="'Table 606'!A2" ref="A5"/>
    <hyperlink display="BuR.X20SC0842" location="'Table 606'!A2" ref="F5"/>
    <hyperlink display="+ST1-115KF53b" location="'Table 606'!A2" ref="A6"/>
    <hyperlink display="BuR.X20BM36" location="'Table 606'!A2" ref="F6"/>
    <hyperlink display="BuR.X20TB52" location="'Table 606'!A2" ref="F7"/>
    <hyperlink display="+ST1-116KF61" location="'Table 606'!A4" ref="A8"/>
    <hyperlink display="BuR.X20DC1976" location="'Table 606'!A4" ref="F8"/>
    <hyperlink display="+ST1-116KF61" location="'Table 606'!A4" ref="A9"/>
    <hyperlink display="BuR.X20BM11" location="'Table 606'!A4" ref="F9"/>
    <hyperlink display="BuR.X20TB12" location="'Table 606'!A4" ref="F10"/>
    <hyperlink display="FIN.48.52.7.024.0050" location="'Table 606'!A5" ref="F11"/>
    <hyperlink display="FIN.48.52.7.024.0050" location="'Table 606'!A6" ref="F12"/>
    <hyperlink display="PXC.2900375" location="'Table 606'!A7" ref="F13"/>
    <hyperlink display="PXC.2900364" location="'Table 606'!A8" ref="F14"/>
    <hyperlink display="WER.649.000.02" location="'Table 606'!A10" ref="F16"/>
    <hyperlink display="SIE.3RV2011-1JA10" location="'Table 606'!A12" ref="F18"/>
    <hyperlink display="+ST1-311Q1" location="'Table 606'!A14" ref="A19"/>
    <hyperlink display="SIE.3RV2011-1DA10" location="'Table 606'!A14" ref="F19"/>
    <hyperlink display="SIE.3RV2901-1E" location="'Table 606'!A14" ref="F20"/>
    <hyperlink display="+ST1-120QA1A" location="'Table 606'!A17" ref="A21"/>
    <hyperlink display="SIE.3RT2018-1BB42" location="'Table 606'!A17" ref="F21"/>
    <hyperlink display="+ST1-120QA1A" location="'Table 606'!A17" ref="A22"/>
    <hyperlink display="SIE.3RH2911-1FA40" location="'Table 606'!A17" ref="F22"/>
    <hyperlink display="SIE.3RT2916-1BB00" location="'Table 606'!A17" ref="F23"/>
    <hyperlink display="+ST1-120QA1B" location="'Table 606'!A20" ref="A24"/>
    <hyperlink display="SIE.3RT2018-1BB42" location="'Table 606'!A20" ref="F24"/>
    <hyperlink display="+ST1-120QA1B" location="'Table 606'!A20" ref="A25"/>
    <hyperlink display="SIE.3RH2911-1FA40" location="'Table 606'!A20" ref="F25"/>
    <hyperlink display="SIE.3RT2916-1BB00" location="'Table 606'!A20" ref="F26"/>
    <hyperlink display="+ST1-120QA2A" location="'Table 606'!A23" ref="A27"/>
    <hyperlink display="SIE.3RT2015-1BB42" location="'Table 606'!A23" ref="F27"/>
    <hyperlink display="+ST1-120QA2A" location="'Table 606'!A23" ref="A28"/>
    <hyperlink display="SIE.3RH2911-1FA40" location="'Table 606'!A23" ref="F28"/>
    <hyperlink display="SIE.3RT2916-1BB00" location="'Table 606'!A23" ref="F29"/>
    <hyperlink display="+ST1-120QA2B" location="'Table 606'!A26" ref="A30"/>
    <hyperlink display="SIE.3RT2015-1BB42" location="'Table 606'!A26" ref="F30"/>
    <hyperlink display="+ST1-120QA2B" location="'Table 606'!A26" ref="A31"/>
    <hyperlink display="SIE.3RH2911-1FA40" location="'Table 606'!A26" ref="F31"/>
    <hyperlink display="SIE.3RT2916-1BB00" location="'Table 606'!A26" ref="F32"/>
    <hyperlink display="+ST1-311QA1" location="'Table 606'!A28" ref="A33"/>
    <hyperlink display="SIE.3RT2015-1BB41" location="'Table 606'!A28" ref="F33"/>
    <hyperlink display="SIE.3RT2916-1BB00" location="'Table 606'!A28" ref="F34"/>
    <hyperlink display="FIN.77.45.9.024.8250" location="'Table 606'!A29" ref="F35"/>
    <hyperlink display="ETN.P1-25/EA/SVB-SW" location="'Table 606'!A30" ref="F36"/>
    <hyperlink display="+ST1-106SF1" location="'Table 606'!A34" ref="A37"/>
    <hyperlink display="ETN.M22-WRLK-W" location="'Table 606'!A34" ref="F37"/>
    <hyperlink display="+ST1-106SF1" location="'Table 606'!A34" ref="A38"/>
    <hyperlink display="ETN.216374" location="'Table 606'!A34" ref="F38"/>
    <hyperlink display="+ST1-106SF1" location="'Table 606'!A34" ref="A39"/>
    <hyperlink display="ETN.M22-K10" location="'Table 606'!A34" ref="F39"/>
    <hyperlink display="ETN.M22S-ST-X" location="'Table 606'!A34" ref="F40"/>
    <hyperlink display="PULS.QS10.241" location="'Table 606'!A37" ref="F43"/>
    <hyperlink display="PULS.CP20.481" location="'Table 606'!A38" ref="F44"/>
    <hyperlink display="+ST1-XD0" location="'Table 606'!A47" ref="A52"/>
    <hyperlink display="WAGO.2002-1204" location="'Table 606'!A47" ref="F52"/>
    <hyperlink display="+ST1-XD0" location="null!J1" ref="A53"/>
    <hyperlink display="WAGO.2002-1207" location="'Table 606'!A47" ref="F53"/>
  </hyperlinks>
  <printOptions/>
  <pageMargins bottom="0.7875" footer="0.0" header="0.0" left="0.7875" right="0.7875" top="0.78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45.0" customHeight="1">
      <c r="A1" s="2" t="s">
        <v>1911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.25" customHeight="1">
      <c r="A2" s="1" t="s">
        <v>15</v>
      </c>
      <c r="B2" s="4">
        <v>4.0</v>
      </c>
      <c r="C2" s="1" t="s">
        <v>20</v>
      </c>
      <c r="D2" s="1" t="s">
        <v>21</v>
      </c>
      <c r="E2" s="1" t="s">
        <v>13</v>
      </c>
      <c r="F2" s="1" t="s">
        <v>22</v>
      </c>
    </row>
    <row r="3" ht="11.25" customHeight="1">
      <c r="A3" s="1" t="s">
        <v>16</v>
      </c>
      <c r="B3" s="4">
        <v>1.0</v>
      </c>
      <c r="C3" s="1" t="s">
        <v>23</v>
      </c>
      <c r="D3" s="1" t="s">
        <v>24</v>
      </c>
      <c r="E3" s="1" t="s">
        <v>13</v>
      </c>
      <c r="F3" s="1" t="s">
        <v>25</v>
      </c>
    </row>
    <row r="4" ht="11.25" customHeight="1">
      <c r="A4" s="1" t="s">
        <v>16</v>
      </c>
      <c r="B4" s="4">
        <v>1.0</v>
      </c>
      <c r="C4" s="1" t="s">
        <v>100</v>
      </c>
      <c r="D4" s="1" t="s">
        <v>101</v>
      </c>
      <c r="E4" s="1" t="s">
        <v>13</v>
      </c>
      <c r="F4" s="1" t="s">
        <v>102</v>
      </c>
    </row>
    <row r="5" ht="11.25" customHeight="1">
      <c r="A5" s="1" t="s">
        <v>16</v>
      </c>
      <c r="B5" s="4">
        <v>1.0</v>
      </c>
      <c r="C5" s="1" t="s">
        <v>104</v>
      </c>
      <c r="D5" s="1" t="s">
        <v>105</v>
      </c>
      <c r="E5" s="1" t="s">
        <v>13</v>
      </c>
      <c r="F5" s="1" t="s">
        <v>106</v>
      </c>
    </row>
    <row r="6" ht="11.25" customHeight="1">
      <c r="A6" s="1" t="s">
        <v>16</v>
      </c>
      <c r="B6" s="4">
        <v>1.0</v>
      </c>
      <c r="C6" s="1" t="s">
        <v>68</v>
      </c>
      <c r="D6" s="1" t="s">
        <v>69</v>
      </c>
      <c r="E6" s="5"/>
      <c r="F6" s="1" t="s">
        <v>70</v>
      </c>
    </row>
    <row r="7" ht="11.25" customHeight="1">
      <c r="A7" s="1" t="s">
        <v>16</v>
      </c>
      <c r="B7" s="4">
        <v>2.0</v>
      </c>
      <c r="C7" s="1" t="s">
        <v>11</v>
      </c>
      <c r="D7" s="1" t="s">
        <v>12</v>
      </c>
      <c r="E7" s="1" t="s">
        <v>13</v>
      </c>
      <c r="F7" s="1" t="s">
        <v>14</v>
      </c>
    </row>
    <row r="8" ht="11.25" customHeight="1">
      <c r="A8" s="1" t="s">
        <v>16</v>
      </c>
      <c r="B8" s="4">
        <v>2.0</v>
      </c>
      <c r="C8" s="1" t="s">
        <v>20</v>
      </c>
      <c r="D8" s="1" t="s">
        <v>21</v>
      </c>
      <c r="E8" s="1" t="s">
        <v>13</v>
      </c>
      <c r="F8" s="1" t="s">
        <v>22</v>
      </c>
    </row>
    <row r="9" ht="11.25" customHeight="1">
      <c r="A9" s="1" t="s">
        <v>16</v>
      </c>
      <c r="B9" s="4">
        <v>0.0</v>
      </c>
      <c r="C9" s="5"/>
      <c r="D9" s="5"/>
      <c r="E9" s="5"/>
      <c r="F9" s="5"/>
    </row>
    <row r="10" ht="11.25" customHeight="1">
      <c r="A10" s="1" t="s">
        <v>17</v>
      </c>
      <c r="B10" s="4">
        <v>1.0</v>
      </c>
      <c r="C10" s="1" t="s">
        <v>23</v>
      </c>
      <c r="D10" s="1" t="s">
        <v>52</v>
      </c>
      <c r="E10" s="1" t="s">
        <v>13</v>
      </c>
      <c r="F10" s="1" t="s">
        <v>53</v>
      </c>
    </row>
    <row r="11" ht="11.25" customHeight="1">
      <c r="A11" s="1" t="s">
        <v>17</v>
      </c>
      <c r="B11" s="4">
        <v>1.0</v>
      </c>
      <c r="C11" s="1" t="s">
        <v>100</v>
      </c>
      <c r="D11" s="1" t="s">
        <v>101</v>
      </c>
      <c r="E11" s="1" t="s">
        <v>13</v>
      </c>
      <c r="F11" s="1" t="s">
        <v>102</v>
      </c>
    </row>
    <row r="12" ht="11.25" customHeight="1">
      <c r="A12" s="1" t="s">
        <v>17</v>
      </c>
      <c r="B12" s="4">
        <v>1.0</v>
      </c>
      <c r="C12" s="1" t="s">
        <v>104</v>
      </c>
      <c r="D12" s="1" t="s">
        <v>105</v>
      </c>
      <c r="E12" s="1" t="s">
        <v>13</v>
      </c>
      <c r="F12" s="1" t="s">
        <v>106</v>
      </c>
    </row>
    <row r="13" ht="11.25" customHeight="1">
      <c r="A13" s="1" t="s">
        <v>17</v>
      </c>
      <c r="B13" s="4">
        <v>12.0</v>
      </c>
      <c r="C13" s="1" t="s">
        <v>40</v>
      </c>
      <c r="D13" s="1" t="s">
        <v>41</v>
      </c>
      <c r="E13" s="1" t="s">
        <v>13</v>
      </c>
      <c r="F13" s="1" t="s">
        <v>42</v>
      </c>
    </row>
    <row r="14" ht="11.25" customHeight="1">
      <c r="A14" s="1" t="s">
        <v>17</v>
      </c>
      <c r="B14" s="4">
        <v>5.0</v>
      </c>
      <c r="C14" s="1" t="s">
        <v>40</v>
      </c>
      <c r="D14" s="1" t="s">
        <v>49</v>
      </c>
      <c r="E14" s="1" t="s">
        <v>13</v>
      </c>
      <c r="F14" s="1" t="s">
        <v>50</v>
      </c>
    </row>
    <row r="15" ht="11.25" customHeight="1">
      <c r="A15" s="1" t="s">
        <v>17</v>
      </c>
      <c r="B15" s="4">
        <v>8.0</v>
      </c>
      <c r="C15" s="1" t="s">
        <v>11</v>
      </c>
      <c r="D15" s="1" t="s">
        <v>12</v>
      </c>
      <c r="E15" s="1" t="s">
        <v>13</v>
      </c>
      <c r="F15" s="1" t="s">
        <v>14</v>
      </c>
    </row>
    <row r="16" ht="11.25" customHeight="1">
      <c r="A16" s="1" t="s">
        <v>43</v>
      </c>
      <c r="B16" s="4">
        <v>1.0</v>
      </c>
      <c r="C16" s="1" t="s">
        <v>23</v>
      </c>
      <c r="D16" s="1" t="s">
        <v>52</v>
      </c>
      <c r="E16" s="1" t="s">
        <v>13</v>
      </c>
      <c r="F16" s="1" t="s">
        <v>53</v>
      </c>
    </row>
    <row r="17" ht="11.25" customHeight="1">
      <c r="A17" s="1" t="s">
        <v>43</v>
      </c>
      <c r="B17" s="4">
        <v>1.0</v>
      </c>
      <c r="C17" s="1" t="s">
        <v>100</v>
      </c>
      <c r="D17" s="1" t="s">
        <v>101</v>
      </c>
      <c r="E17" s="1" t="s">
        <v>13</v>
      </c>
      <c r="F17" s="1" t="s">
        <v>102</v>
      </c>
    </row>
    <row r="18" ht="15.0" customHeight="1">
      <c r="A18" s="1" t="s">
        <v>43</v>
      </c>
      <c r="B18" s="4">
        <v>1.0</v>
      </c>
      <c r="C18" s="1" t="s">
        <v>104</v>
      </c>
      <c r="D18" s="1" t="s">
        <v>105</v>
      </c>
      <c r="E18" s="1" t="s">
        <v>13</v>
      </c>
      <c r="F18" s="1" t="s">
        <v>106</v>
      </c>
    </row>
    <row r="19" ht="11.25" customHeight="1">
      <c r="A19" s="1" t="s">
        <v>43</v>
      </c>
      <c r="B19" s="4">
        <v>10.0</v>
      </c>
      <c r="C19" s="1" t="s">
        <v>40</v>
      </c>
      <c r="D19" s="1" t="s">
        <v>41</v>
      </c>
      <c r="E19" s="1" t="s">
        <v>13</v>
      </c>
      <c r="F19" s="1" t="s">
        <v>42</v>
      </c>
    </row>
    <row r="20" ht="11.25" customHeight="1">
      <c r="A20" s="1" t="s">
        <v>44</v>
      </c>
      <c r="B20" s="4">
        <v>1.0</v>
      </c>
      <c r="C20" s="1" t="s">
        <v>23</v>
      </c>
      <c r="D20" s="1" t="s">
        <v>52</v>
      </c>
      <c r="E20" s="1" t="s">
        <v>13</v>
      </c>
      <c r="F20" s="1" t="s">
        <v>53</v>
      </c>
    </row>
    <row r="21" ht="11.25" customHeight="1">
      <c r="A21" s="1" t="s">
        <v>44</v>
      </c>
      <c r="B21" s="4">
        <v>1.0</v>
      </c>
      <c r="C21" s="1" t="s">
        <v>100</v>
      </c>
      <c r="D21" s="1" t="s">
        <v>101</v>
      </c>
      <c r="E21" s="1" t="s">
        <v>13</v>
      </c>
      <c r="F21" s="1" t="s">
        <v>102</v>
      </c>
    </row>
    <row r="22" ht="11.25" customHeight="1">
      <c r="A22" s="1" t="s">
        <v>44</v>
      </c>
      <c r="B22" s="4">
        <v>1.0</v>
      </c>
      <c r="C22" s="1" t="s">
        <v>104</v>
      </c>
      <c r="D22" s="1" t="s">
        <v>105</v>
      </c>
      <c r="E22" s="1" t="s">
        <v>13</v>
      </c>
      <c r="F22" s="1" t="s">
        <v>106</v>
      </c>
    </row>
    <row r="23" ht="11.25" customHeight="1">
      <c r="A23" s="1" t="s">
        <v>44</v>
      </c>
      <c r="B23" s="4">
        <v>9.0</v>
      </c>
      <c r="C23" s="1" t="s">
        <v>40</v>
      </c>
      <c r="D23" s="1" t="s">
        <v>41</v>
      </c>
      <c r="E23" s="1" t="s">
        <v>13</v>
      </c>
      <c r="F23" s="1" t="s">
        <v>42</v>
      </c>
    </row>
    <row r="24" ht="11.25" customHeight="1">
      <c r="A24" s="6" t="s">
        <v>44</v>
      </c>
      <c r="B24" s="4">
        <v>1.0</v>
      </c>
      <c r="C24" s="1" t="s">
        <v>40</v>
      </c>
      <c r="D24" s="1" t="s">
        <v>49</v>
      </c>
      <c r="E24" s="1" t="s">
        <v>13</v>
      </c>
      <c r="F24" s="6" t="s">
        <v>50</v>
      </c>
    </row>
    <row r="25" ht="11.25" customHeight="1">
      <c r="A25" s="1" t="s">
        <v>45</v>
      </c>
      <c r="B25" s="4">
        <v>1.0</v>
      </c>
      <c r="C25" s="1" t="s">
        <v>23</v>
      </c>
      <c r="D25" s="1" t="s">
        <v>52</v>
      </c>
      <c r="E25" s="1" t="s">
        <v>13</v>
      </c>
      <c r="F25" s="1" t="s">
        <v>53</v>
      </c>
    </row>
    <row r="26" ht="11.25" customHeight="1">
      <c r="A26" s="1" t="s">
        <v>45</v>
      </c>
      <c r="B26" s="4">
        <v>1.0</v>
      </c>
      <c r="C26" s="1" t="s">
        <v>100</v>
      </c>
      <c r="D26" s="1" t="s">
        <v>101</v>
      </c>
      <c r="E26" s="1" t="s">
        <v>13</v>
      </c>
      <c r="F26" s="1" t="s">
        <v>102</v>
      </c>
    </row>
    <row r="27" ht="11.25" customHeight="1">
      <c r="A27" s="1" t="s">
        <v>45</v>
      </c>
      <c r="B27" s="4">
        <v>1.0</v>
      </c>
      <c r="C27" s="1" t="s">
        <v>104</v>
      </c>
      <c r="D27" s="1" t="s">
        <v>105</v>
      </c>
      <c r="E27" s="1" t="s">
        <v>13</v>
      </c>
      <c r="F27" s="1" t="s">
        <v>106</v>
      </c>
    </row>
    <row r="28" ht="15.0" customHeight="1">
      <c r="A28" s="1" t="s">
        <v>45</v>
      </c>
      <c r="B28" s="4">
        <v>10.0</v>
      </c>
      <c r="C28" s="1" t="s">
        <v>40</v>
      </c>
      <c r="D28" s="1" t="s">
        <v>41</v>
      </c>
      <c r="E28" s="1" t="s">
        <v>13</v>
      </c>
      <c r="F28" s="1" t="s">
        <v>42</v>
      </c>
    </row>
    <row r="29" ht="11.25" customHeight="1">
      <c r="A29" s="1" t="s">
        <v>46</v>
      </c>
      <c r="B29" s="4">
        <v>1.0</v>
      </c>
      <c r="C29" s="1" t="s">
        <v>23</v>
      </c>
      <c r="D29" s="1" t="s">
        <v>52</v>
      </c>
      <c r="E29" s="1" t="s">
        <v>13</v>
      </c>
      <c r="F29" s="1" t="s">
        <v>53</v>
      </c>
    </row>
    <row r="30" ht="15.0" customHeight="1">
      <c r="A30" s="1" t="s">
        <v>46</v>
      </c>
      <c r="B30" s="4">
        <v>1.0</v>
      </c>
      <c r="C30" s="1" t="s">
        <v>100</v>
      </c>
      <c r="D30" s="1" t="s">
        <v>101</v>
      </c>
      <c r="E30" s="1" t="s">
        <v>13</v>
      </c>
      <c r="F30" s="1" t="s">
        <v>102</v>
      </c>
    </row>
    <row r="31" ht="11.25" customHeight="1">
      <c r="A31" s="1" t="s">
        <v>46</v>
      </c>
      <c r="B31" s="4">
        <v>1.0</v>
      </c>
      <c r="C31" s="1" t="s">
        <v>104</v>
      </c>
      <c r="D31" s="1" t="s">
        <v>105</v>
      </c>
      <c r="E31" s="1" t="s">
        <v>13</v>
      </c>
      <c r="F31" s="1" t="s">
        <v>106</v>
      </c>
    </row>
    <row r="32" ht="11.25" customHeight="1">
      <c r="A32" s="1" t="s">
        <v>46</v>
      </c>
      <c r="B32" s="4">
        <v>19.0</v>
      </c>
      <c r="C32" s="1" t="s">
        <v>40</v>
      </c>
      <c r="D32" s="1" t="s">
        <v>41</v>
      </c>
      <c r="E32" s="1" t="s">
        <v>13</v>
      </c>
      <c r="F32" s="1" t="s">
        <v>42</v>
      </c>
    </row>
    <row r="33" ht="11.25" customHeight="1">
      <c r="A33" s="1" t="s">
        <v>47</v>
      </c>
      <c r="B33" s="4">
        <v>10.0</v>
      </c>
      <c r="C33" s="1" t="s">
        <v>40</v>
      </c>
      <c r="D33" s="1" t="s">
        <v>41</v>
      </c>
      <c r="E33" s="1" t="s">
        <v>13</v>
      </c>
      <c r="F33" s="1" t="s">
        <v>42</v>
      </c>
    </row>
    <row r="34" ht="11.25" customHeight="1">
      <c r="A34" s="6" t="s">
        <v>47</v>
      </c>
      <c r="B34" s="4">
        <v>1.0</v>
      </c>
      <c r="C34" s="1" t="s">
        <v>40</v>
      </c>
      <c r="D34" s="1" t="s">
        <v>49</v>
      </c>
      <c r="E34" s="1" t="s">
        <v>13</v>
      </c>
      <c r="F34" s="6" t="s">
        <v>50</v>
      </c>
    </row>
    <row r="35" ht="11.25" customHeight="1">
      <c r="A35" s="1" t="s">
        <v>393</v>
      </c>
      <c r="B35" s="4">
        <v>0.0</v>
      </c>
      <c r="C35" s="5"/>
      <c r="D35" s="5"/>
      <c r="E35" s="5"/>
      <c r="F35" s="5"/>
    </row>
    <row r="36" ht="11.25" customHeight="1">
      <c r="A36" s="1" t="s">
        <v>6</v>
      </c>
      <c r="B36" s="4">
        <v>1.0</v>
      </c>
      <c r="C36" s="1" t="s">
        <v>7</v>
      </c>
      <c r="D36" s="1" t="s">
        <v>8</v>
      </c>
      <c r="E36" s="5"/>
      <c r="F36" s="6" t="s">
        <v>9</v>
      </c>
    </row>
    <row r="37" ht="11.25" customHeight="1">
      <c r="A37" s="1" t="s">
        <v>27</v>
      </c>
      <c r="B37" s="4">
        <v>1.0</v>
      </c>
      <c r="C37" s="1" t="s">
        <v>23</v>
      </c>
      <c r="D37" s="1" t="s">
        <v>38</v>
      </c>
      <c r="E37" s="1" t="s">
        <v>13</v>
      </c>
      <c r="F37" s="1" t="s">
        <v>39</v>
      </c>
    </row>
    <row r="38" ht="11.25" customHeight="1">
      <c r="A38" s="1" t="s">
        <v>27</v>
      </c>
      <c r="B38" s="4">
        <v>1.0</v>
      </c>
      <c r="C38" s="1" t="s">
        <v>68</v>
      </c>
      <c r="D38" s="1" t="s">
        <v>75</v>
      </c>
      <c r="E38" s="5"/>
      <c r="F38" s="1" t="s">
        <v>76</v>
      </c>
    </row>
    <row r="39" ht="11.25" customHeight="1">
      <c r="A39" s="1" t="s">
        <v>27</v>
      </c>
      <c r="B39" s="4">
        <v>1.0</v>
      </c>
      <c r="C39" s="1" t="s">
        <v>100</v>
      </c>
      <c r="D39" s="1" t="s">
        <v>101</v>
      </c>
      <c r="E39" s="1" t="s">
        <v>13</v>
      </c>
      <c r="F39" s="1" t="s">
        <v>102</v>
      </c>
    </row>
    <row r="40" ht="11.25" customHeight="1">
      <c r="A40" s="1" t="s">
        <v>27</v>
      </c>
      <c r="B40" s="4">
        <v>1.0</v>
      </c>
      <c r="C40" s="1" t="s">
        <v>104</v>
      </c>
      <c r="D40" s="1" t="s">
        <v>105</v>
      </c>
      <c r="E40" s="1" t="s">
        <v>13</v>
      </c>
      <c r="F40" s="1" t="s">
        <v>106</v>
      </c>
    </row>
    <row r="41" ht="11.25" customHeight="1">
      <c r="A41" s="1" t="s">
        <v>27</v>
      </c>
      <c r="B41" s="4">
        <v>9.0</v>
      </c>
      <c r="C41" s="1" t="s">
        <v>28</v>
      </c>
      <c r="D41" s="1" t="s">
        <v>29</v>
      </c>
      <c r="E41" s="1" t="s">
        <v>13</v>
      </c>
      <c r="F41" s="1" t="s">
        <v>30</v>
      </c>
    </row>
    <row r="42" ht="11.25" customHeight="1">
      <c r="A42" s="1" t="s">
        <v>77</v>
      </c>
      <c r="B42" s="4">
        <v>1.0</v>
      </c>
      <c r="C42" s="1" t="s">
        <v>61</v>
      </c>
      <c r="D42" s="1" t="s">
        <v>81</v>
      </c>
      <c r="E42" s="5"/>
      <c r="F42" s="1" t="s">
        <v>82</v>
      </c>
    </row>
    <row r="43" ht="11.25" customHeight="1">
      <c r="A43" s="1" t="s">
        <v>77</v>
      </c>
      <c r="B43" s="4">
        <v>1.0</v>
      </c>
      <c r="C43" s="1" t="s">
        <v>68</v>
      </c>
      <c r="D43" s="1" t="s">
        <v>83</v>
      </c>
      <c r="E43" s="5"/>
      <c r="F43" s="1" t="s">
        <v>84</v>
      </c>
    </row>
    <row r="44" ht="11.25" customHeight="1">
      <c r="A44" s="1" t="s">
        <v>77</v>
      </c>
      <c r="B44" s="4">
        <v>1.0</v>
      </c>
      <c r="C44" s="1" t="s">
        <v>100</v>
      </c>
      <c r="D44" s="1" t="s">
        <v>101</v>
      </c>
      <c r="E44" s="1" t="s">
        <v>13</v>
      </c>
      <c r="F44" s="1" t="s">
        <v>102</v>
      </c>
    </row>
    <row r="45" ht="11.25" customHeight="1">
      <c r="A45" s="1" t="s">
        <v>77</v>
      </c>
      <c r="B45" s="4">
        <v>1.0</v>
      </c>
      <c r="C45" s="1" t="s">
        <v>104</v>
      </c>
      <c r="D45" s="1" t="s">
        <v>105</v>
      </c>
      <c r="E45" s="1" t="s">
        <v>13</v>
      </c>
      <c r="F45" s="1" t="s">
        <v>106</v>
      </c>
    </row>
    <row r="46" ht="11.25" customHeight="1">
      <c r="A46" s="1" t="s">
        <v>77</v>
      </c>
      <c r="B46" s="4">
        <v>2.0</v>
      </c>
      <c r="C46" s="1" t="s">
        <v>11</v>
      </c>
      <c r="D46" s="1" t="s">
        <v>78</v>
      </c>
      <c r="E46" s="1" t="s">
        <v>13</v>
      </c>
      <c r="F46" s="1" t="s">
        <v>79</v>
      </c>
    </row>
    <row r="47" ht="11.25" customHeight="1">
      <c r="A47" s="1" t="s">
        <v>32</v>
      </c>
      <c r="B47" s="4">
        <v>2.0</v>
      </c>
      <c r="C47" s="1" t="s">
        <v>28</v>
      </c>
      <c r="D47" s="1" t="s">
        <v>33</v>
      </c>
      <c r="E47" s="1" t="s">
        <v>13</v>
      </c>
      <c r="F47" s="1" t="s">
        <v>34</v>
      </c>
    </row>
    <row r="48" ht="11.25" customHeight="1">
      <c r="A48" s="1" t="s">
        <v>31</v>
      </c>
      <c r="B48" s="4">
        <v>1.0</v>
      </c>
      <c r="C48" s="1" t="s">
        <v>23</v>
      </c>
      <c r="D48" s="1" t="s">
        <v>38</v>
      </c>
      <c r="E48" s="1" t="s">
        <v>13</v>
      </c>
      <c r="F48" s="1" t="s">
        <v>39</v>
      </c>
    </row>
    <row r="49" ht="11.25" customHeight="1">
      <c r="A49" s="1" t="s">
        <v>31</v>
      </c>
      <c r="B49" s="4">
        <v>1.0</v>
      </c>
      <c r="C49" s="1" t="s">
        <v>100</v>
      </c>
      <c r="D49" s="1" t="s">
        <v>101</v>
      </c>
      <c r="E49" s="1" t="s">
        <v>13</v>
      </c>
      <c r="F49" s="1" t="s">
        <v>102</v>
      </c>
    </row>
    <row r="50" ht="11.25" customHeight="1">
      <c r="A50" s="1" t="s">
        <v>31</v>
      </c>
      <c r="B50" s="4">
        <v>1.0</v>
      </c>
      <c r="C50" s="1" t="s">
        <v>104</v>
      </c>
      <c r="D50" s="1" t="s">
        <v>105</v>
      </c>
      <c r="E50" s="1" t="s">
        <v>13</v>
      </c>
      <c r="F50" s="1" t="s">
        <v>106</v>
      </c>
    </row>
    <row r="51" ht="11.25" customHeight="1">
      <c r="A51" s="1" t="s">
        <v>31</v>
      </c>
      <c r="B51" s="4">
        <v>1.0</v>
      </c>
      <c r="C51" s="1" t="s">
        <v>68</v>
      </c>
      <c r="D51" s="1" t="s">
        <v>69</v>
      </c>
      <c r="E51" s="5"/>
      <c r="F51" s="1" t="s">
        <v>70</v>
      </c>
    </row>
    <row r="52" ht="11.25" customHeight="1">
      <c r="A52" s="1" t="s">
        <v>31</v>
      </c>
      <c r="B52" s="4">
        <v>9.0</v>
      </c>
      <c r="C52" s="1" t="s">
        <v>28</v>
      </c>
      <c r="D52" s="1" t="s">
        <v>29</v>
      </c>
      <c r="E52" s="1" t="s">
        <v>13</v>
      </c>
      <c r="F52" s="1" t="s">
        <v>30</v>
      </c>
    </row>
    <row r="53" ht="11.25" customHeight="1">
      <c r="A53" s="1" t="s">
        <v>92</v>
      </c>
      <c r="B53" s="4">
        <v>1.0</v>
      </c>
      <c r="C53" s="1" t="s">
        <v>61</v>
      </c>
      <c r="D53" s="1" t="s">
        <v>96</v>
      </c>
      <c r="E53" s="5"/>
      <c r="F53" s="1" t="s">
        <v>97</v>
      </c>
    </row>
    <row r="54" ht="11.25" customHeight="1">
      <c r="A54" s="1" t="s">
        <v>92</v>
      </c>
      <c r="B54" s="4">
        <v>1.0</v>
      </c>
      <c r="C54" s="1" t="s">
        <v>68</v>
      </c>
      <c r="D54" s="1" t="s">
        <v>98</v>
      </c>
      <c r="E54" s="5"/>
      <c r="F54" s="1" t="s">
        <v>99</v>
      </c>
    </row>
    <row r="55" ht="11.25" customHeight="1">
      <c r="A55" s="1" t="s">
        <v>92</v>
      </c>
      <c r="B55" s="4">
        <v>1.0</v>
      </c>
      <c r="C55" s="1" t="s">
        <v>100</v>
      </c>
      <c r="D55" s="1" t="s">
        <v>101</v>
      </c>
      <c r="E55" s="1" t="s">
        <v>13</v>
      </c>
      <c r="F55" s="1" t="s">
        <v>102</v>
      </c>
    </row>
    <row r="56" ht="11.25" customHeight="1">
      <c r="A56" s="1" t="s">
        <v>92</v>
      </c>
      <c r="B56" s="4">
        <v>1.0</v>
      </c>
      <c r="C56" s="1" t="s">
        <v>104</v>
      </c>
      <c r="D56" s="1" t="s">
        <v>105</v>
      </c>
      <c r="E56" s="1" t="s">
        <v>13</v>
      </c>
      <c r="F56" s="1" t="s">
        <v>106</v>
      </c>
    </row>
    <row r="57" ht="11.25" customHeight="1">
      <c r="A57" s="1" t="s">
        <v>92</v>
      </c>
      <c r="B57" s="4">
        <v>2.0</v>
      </c>
      <c r="C57" s="1" t="s">
        <v>93</v>
      </c>
      <c r="D57" s="1" t="s">
        <v>94</v>
      </c>
      <c r="E57" s="1" t="s">
        <v>13</v>
      </c>
      <c r="F57" s="1" t="s">
        <v>95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+ST1-XD11" location="null!F1" ref="A24"/>
    <hyperlink display="WAGO.2002-2237" location="'Table 610'!A18" ref="F24"/>
    <hyperlink display="+ST1-XD30" location="null!A19" ref="A34"/>
    <hyperlink display="WAGO.2002-2237" location="'Table 610'!A28" ref="F34"/>
    <hyperlink display="FIN.07.98.00" location="'Table 610'!A30" ref="F36"/>
  </hyperlinks>
  <printOptions/>
  <pageMargins bottom="0.7875" footer="0.0" header="0.0" left="0.7875" right="0.7875" top="0.78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45.0" customHeight="1">
      <c r="A1" s="2" t="s">
        <v>1911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.25" customHeight="1">
      <c r="A2" s="1" t="s">
        <v>80</v>
      </c>
      <c r="B2" s="4">
        <v>1.0</v>
      </c>
      <c r="C2" s="1" t="s">
        <v>61</v>
      </c>
      <c r="D2" s="1" t="s">
        <v>96</v>
      </c>
      <c r="E2" s="5"/>
      <c r="F2" s="1" t="s">
        <v>97</v>
      </c>
    </row>
    <row r="3" ht="11.25" customHeight="1">
      <c r="A3" s="1" t="s">
        <v>80</v>
      </c>
      <c r="B3" s="4">
        <v>1.0</v>
      </c>
      <c r="C3" s="1" t="s">
        <v>100</v>
      </c>
      <c r="D3" s="1" t="s">
        <v>101</v>
      </c>
      <c r="E3" s="1" t="s">
        <v>13</v>
      </c>
      <c r="F3" s="1" t="s">
        <v>102</v>
      </c>
    </row>
    <row r="4" ht="11.25" customHeight="1">
      <c r="A4" s="1" t="s">
        <v>80</v>
      </c>
      <c r="B4" s="4">
        <v>1.0</v>
      </c>
      <c r="C4" s="1" t="s">
        <v>104</v>
      </c>
      <c r="D4" s="1" t="s">
        <v>105</v>
      </c>
      <c r="E4" s="1" t="s">
        <v>13</v>
      </c>
      <c r="F4" s="1" t="s">
        <v>106</v>
      </c>
    </row>
    <row r="5" ht="11.25" customHeight="1">
      <c r="A5" s="6" t="s">
        <v>80</v>
      </c>
      <c r="B5" s="4">
        <v>1.0</v>
      </c>
      <c r="C5" s="1" t="s">
        <v>93</v>
      </c>
      <c r="D5" s="1" t="s">
        <v>94</v>
      </c>
      <c r="E5" s="1" t="s">
        <v>13</v>
      </c>
      <c r="F5" s="6" t="s">
        <v>95</v>
      </c>
    </row>
    <row r="6" ht="11.25" customHeight="1">
      <c r="A6" s="1" t="s">
        <v>80</v>
      </c>
      <c r="B6" s="4">
        <v>1.0</v>
      </c>
      <c r="C6" s="1" t="s">
        <v>11</v>
      </c>
      <c r="D6" s="1" t="s">
        <v>78</v>
      </c>
      <c r="E6" s="1" t="s">
        <v>13</v>
      </c>
      <c r="F6" s="6" t="s">
        <v>79</v>
      </c>
    </row>
    <row r="7" ht="11.25" customHeight="1">
      <c r="A7" s="1" t="s">
        <v>26</v>
      </c>
      <c r="B7" s="4">
        <v>1.0</v>
      </c>
      <c r="C7" s="1" t="s">
        <v>23</v>
      </c>
      <c r="D7" s="1" t="s">
        <v>24</v>
      </c>
      <c r="E7" s="1" t="s">
        <v>13</v>
      </c>
      <c r="F7" s="1" t="s">
        <v>25</v>
      </c>
    </row>
    <row r="8" ht="15.0" customHeight="1">
      <c r="A8" s="1" t="s">
        <v>26</v>
      </c>
      <c r="B8" s="4">
        <v>1.0</v>
      </c>
      <c r="C8" s="1" t="s">
        <v>68</v>
      </c>
      <c r="D8" s="1" t="s">
        <v>71</v>
      </c>
      <c r="E8" s="1" t="s">
        <v>13</v>
      </c>
      <c r="F8" s="1" t="s">
        <v>72</v>
      </c>
    </row>
    <row r="9" ht="11.25" customHeight="1">
      <c r="A9" s="1" t="s">
        <v>26</v>
      </c>
      <c r="B9" s="4">
        <v>1.0</v>
      </c>
      <c r="C9" s="1" t="s">
        <v>100</v>
      </c>
      <c r="D9" s="1" t="s">
        <v>101</v>
      </c>
      <c r="E9" s="1" t="s">
        <v>13</v>
      </c>
      <c r="F9" s="1" t="s">
        <v>102</v>
      </c>
    </row>
    <row r="10" ht="11.25" customHeight="1">
      <c r="A10" s="1" t="s">
        <v>26</v>
      </c>
      <c r="B10" s="4">
        <v>1.0</v>
      </c>
      <c r="C10" s="1" t="s">
        <v>104</v>
      </c>
      <c r="D10" s="1" t="s">
        <v>105</v>
      </c>
      <c r="E10" s="1" t="s">
        <v>13</v>
      </c>
      <c r="F10" s="1" t="s">
        <v>106</v>
      </c>
    </row>
    <row r="11" ht="15.0" customHeight="1">
      <c r="A11" s="1" t="s">
        <v>26</v>
      </c>
      <c r="B11" s="4">
        <v>4.0</v>
      </c>
      <c r="C11" s="1" t="s">
        <v>35</v>
      </c>
      <c r="D11" s="1" t="s">
        <v>36</v>
      </c>
      <c r="E11" s="1" t="s">
        <v>13</v>
      </c>
      <c r="F11" s="1" t="s">
        <v>37</v>
      </c>
    </row>
    <row r="12" ht="11.25" customHeight="1">
      <c r="A12" s="6" t="s">
        <v>85</v>
      </c>
      <c r="B12" s="4">
        <v>1.0</v>
      </c>
      <c r="C12" s="1" t="s">
        <v>86</v>
      </c>
      <c r="D12" s="1" t="s">
        <v>87</v>
      </c>
      <c r="E12" s="1" t="s">
        <v>13</v>
      </c>
      <c r="F12" s="6" t="s">
        <v>88</v>
      </c>
    </row>
    <row r="13" ht="11.25" customHeight="1">
      <c r="A13" s="6" t="s">
        <v>85</v>
      </c>
      <c r="B13" s="4">
        <v>1.0</v>
      </c>
      <c r="C13" s="1" t="s">
        <v>61</v>
      </c>
      <c r="D13" s="1" t="s">
        <v>96</v>
      </c>
      <c r="E13" s="5"/>
      <c r="F13" s="6" t="s">
        <v>97</v>
      </c>
    </row>
    <row r="14" ht="11.25" customHeight="1">
      <c r="A14" s="6" t="s">
        <v>85</v>
      </c>
      <c r="B14" s="4">
        <v>1.0</v>
      </c>
      <c r="C14" s="1" t="s">
        <v>100</v>
      </c>
      <c r="D14" s="1" t="s">
        <v>101</v>
      </c>
      <c r="E14" s="1" t="s">
        <v>13</v>
      </c>
      <c r="F14" s="6" t="s">
        <v>102</v>
      </c>
    </row>
    <row r="15" ht="11.25" customHeight="1">
      <c r="A15" s="6" t="s">
        <v>89</v>
      </c>
      <c r="B15" s="4">
        <v>1.0</v>
      </c>
      <c r="C15" s="1" t="s">
        <v>86</v>
      </c>
      <c r="D15" s="1" t="s">
        <v>90</v>
      </c>
      <c r="E15" s="5"/>
      <c r="F15" s="6" t="s">
        <v>91</v>
      </c>
    </row>
    <row r="16" ht="11.25" customHeight="1">
      <c r="A16" s="6" t="s">
        <v>89</v>
      </c>
      <c r="B16" s="4">
        <v>1.0</v>
      </c>
      <c r="C16" s="1" t="s">
        <v>61</v>
      </c>
      <c r="D16" s="1" t="s">
        <v>96</v>
      </c>
      <c r="E16" s="5"/>
      <c r="F16" s="6" t="s">
        <v>97</v>
      </c>
    </row>
    <row r="17" ht="11.25" customHeight="1">
      <c r="A17" s="6" t="s">
        <v>89</v>
      </c>
      <c r="B17" s="4">
        <v>1.0</v>
      </c>
      <c r="C17" s="1" t="s">
        <v>100</v>
      </c>
      <c r="D17" s="1" t="s">
        <v>101</v>
      </c>
      <c r="E17" s="1" t="s">
        <v>13</v>
      </c>
      <c r="F17" s="6" t="s">
        <v>102</v>
      </c>
    </row>
    <row r="18" ht="11.25" customHeight="1">
      <c r="A18" s="1" t="s">
        <v>224</v>
      </c>
      <c r="B18" s="4">
        <v>1.0</v>
      </c>
      <c r="C18" s="1" t="s">
        <v>228</v>
      </c>
      <c r="D18" s="1" t="s">
        <v>229</v>
      </c>
      <c r="E18" s="5"/>
      <c r="F18" s="1" t="s">
        <v>230</v>
      </c>
    </row>
    <row r="19" ht="15.0" customHeight="1">
      <c r="A19" s="1" t="s">
        <v>224</v>
      </c>
      <c r="B19" s="4">
        <v>1.0</v>
      </c>
      <c r="C19" s="1" t="s">
        <v>225</v>
      </c>
      <c r="D19" s="1" t="s">
        <v>226</v>
      </c>
      <c r="E19" s="7"/>
      <c r="F19" s="1" t="s">
        <v>227</v>
      </c>
    </row>
    <row r="20" ht="11.25" customHeight="1">
      <c r="A20" s="1" t="s">
        <v>224</v>
      </c>
      <c r="B20" s="4">
        <v>3.0</v>
      </c>
      <c r="C20" s="1" t="s">
        <v>292</v>
      </c>
      <c r="D20" s="1" t="s">
        <v>293</v>
      </c>
      <c r="E20" s="5"/>
      <c r="F20" s="1" t="s">
        <v>294</v>
      </c>
    </row>
    <row r="21" ht="11.25" customHeight="1">
      <c r="A21" s="1" t="s">
        <v>224</v>
      </c>
      <c r="B21" s="4">
        <v>3.0</v>
      </c>
      <c r="C21" s="1" t="s">
        <v>287</v>
      </c>
      <c r="D21" s="1" t="s">
        <v>288</v>
      </c>
      <c r="E21" s="5"/>
      <c r="F21" s="1" t="s">
        <v>289</v>
      </c>
    </row>
    <row r="22" ht="11.25" customHeight="1">
      <c r="A22" s="1" t="s">
        <v>224</v>
      </c>
      <c r="B22" s="4">
        <v>17.0</v>
      </c>
      <c r="C22" s="1" t="s">
        <v>295</v>
      </c>
      <c r="D22" s="1" t="s">
        <v>293</v>
      </c>
      <c r="E22" s="5"/>
      <c r="F22" s="1" t="s">
        <v>296</v>
      </c>
    </row>
    <row r="23" ht="11.25" customHeight="1">
      <c r="A23" s="1" t="s">
        <v>224</v>
      </c>
      <c r="B23" s="4">
        <v>17.0</v>
      </c>
      <c r="C23" s="1" t="s">
        <v>290</v>
      </c>
      <c r="D23" s="1" t="s">
        <v>288</v>
      </c>
      <c r="E23" s="5"/>
      <c r="F23" s="1" t="s">
        <v>291</v>
      </c>
    </row>
    <row r="24" ht="15.0" customHeight="1">
      <c r="A24" s="1" t="s">
        <v>224</v>
      </c>
      <c r="B24" s="4">
        <v>17.0</v>
      </c>
      <c r="C24" s="1" t="s">
        <v>284</v>
      </c>
      <c r="D24" s="1" t="s">
        <v>285</v>
      </c>
      <c r="E24" s="7"/>
      <c r="F24" s="1" t="s">
        <v>286</v>
      </c>
    </row>
    <row r="25" ht="15.0" customHeight="1">
      <c r="A25" s="1" t="s">
        <v>394</v>
      </c>
      <c r="B25" s="4">
        <v>0.0</v>
      </c>
      <c r="C25" s="7"/>
      <c r="D25" s="7"/>
      <c r="E25" s="7"/>
      <c r="F25" s="7"/>
    </row>
    <row r="26" ht="11.25" customHeight="1">
      <c r="A26" s="1" t="s">
        <v>55</v>
      </c>
      <c r="B26" s="4">
        <v>18.0</v>
      </c>
      <c r="C26" s="1" t="s">
        <v>56</v>
      </c>
      <c r="D26" s="1" t="s">
        <v>57</v>
      </c>
      <c r="E26" s="1" t="s">
        <v>13</v>
      </c>
      <c r="F26" s="1" t="s">
        <v>58</v>
      </c>
    </row>
    <row r="27" ht="11.25" customHeight="1">
      <c r="A27" s="1" t="s">
        <v>48</v>
      </c>
      <c r="B27" s="4">
        <v>6.0</v>
      </c>
      <c r="C27" s="1" t="s">
        <v>40</v>
      </c>
      <c r="D27" s="1" t="s">
        <v>41</v>
      </c>
      <c r="E27" s="1" t="s">
        <v>13</v>
      </c>
      <c r="F27" s="1" t="s">
        <v>42</v>
      </c>
    </row>
    <row r="28" ht="15.0" customHeight="1">
      <c r="A28" s="1" t="s">
        <v>59</v>
      </c>
      <c r="B28" s="4">
        <v>18.0</v>
      </c>
      <c r="C28" s="1" t="s">
        <v>56</v>
      </c>
      <c r="D28" s="1" t="s">
        <v>57</v>
      </c>
      <c r="E28" s="1" t="s">
        <v>13</v>
      </c>
      <c r="F28" s="1" t="s">
        <v>58</v>
      </c>
    </row>
    <row r="29" ht="15.0" customHeight="1">
      <c r="A29" s="1" t="s">
        <v>395</v>
      </c>
      <c r="B29" s="4">
        <v>0.0</v>
      </c>
      <c r="C29" s="7"/>
      <c r="D29" s="7"/>
      <c r="E29" s="7"/>
      <c r="F29" s="7"/>
    </row>
    <row r="30" ht="11.25" customHeight="1">
      <c r="A30" s="1" t="s">
        <v>396</v>
      </c>
      <c r="B30" s="4">
        <v>0.0</v>
      </c>
      <c r="C30" s="5"/>
      <c r="D30" s="5"/>
      <c r="E30" s="5"/>
      <c r="F30" s="5"/>
    </row>
    <row r="31" ht="11.25" customHeight="1">
      <c r="A31" s="1" t="s">
        <v>197</v>
      </c>
      <c r="B31" s="4">
        <v>1.0</v>
      </c>
      <c r="C31" s="1" t="s">
        <v>198</v>
      </c>
      <c r="D31" s="1" t="s">
        <v>199</v>
      </c>
      <c r="E31" s="1" t="s">
        <v>161</v>
      </c>
      <c r="F31" s="6" t="s">
        <v>200</v>
      </c>
    </row>
    <row r="32" ht="15.0" customHeight="1">
      <c r="A32" s="1" t="s">
        <v>197</v>
      </c>
      <c r="B32" s="4">
        <v>0.0</v>
      </c>
      <c r="C32" s="7"/>
      <c r="D32" s="7"/>
      <c r="E32" s="7"/>
      <c r="F32" s="7"/>
    </row>
    <row r="33" ht="15.0" customHeight="1">
      <c r="A33" s="6" t="s">
        <v>192</v>
      </c>
      <c r="B33" s="4">
        <v>1.0</v>
      </c>
      <c r="C33" s="1" t="s">
        <v>193</v>
      </c>
      <c r="D33" s="1" t="s">
        <v>194</v>
      </c>
      <c r="E33" s="1" t="s">
        <v>161</v>
      </c>
      <c r="F33" s="6" t="s">
        <v>195</v>
      </c>
    </row>
    <row r="34" ht="15.0" customHeight="1">
      <c r="A34" s="1" t="s">
        <v>192</v>
      </c>
      <c r="B34" s="4">
        <v>0.0</v>
      </c>
      <c r="C34" s="7"/>
      <c r="D34" s="7"/>
      <c r="E34" s="7"/>
      <c r="F34" s="7"/>
    </row>
    <row r="35" ht="15.0" customHeight="1">
      <c r="A35" s="1" t="s">
        <v>201</v>
      </c>
      <c r="B35" s="4">
        <v>1.0</v>
      </c>
      <c r="C35" s="1" t="s">
        <v>198</v>
      </c>
      <c r="D35" s="1" t="s">
        <v>199</v>
      </c>
      <c r="E35" s="1" t="s">
        <v>161</v>
      </c>
      <c r="F35" s="6" t="s">
        <v>200</v>
      </c>
    </row>
    <row r="36" ht="15.0" customHeight="1">
      <c r="A36" s="1" t="s">
        <v>201</v>
      </c>
      <c r="B36" s="4">
        <v>0.0</v>
      </c>
      <c r="C36" s="7"/>
      <c r="D36" s="7"/>
      <c r="E36" s="7"/>
      <c r="F36" s="7"/>
    </row>
    <row r="37" ht="15.0" customHeight="1">
      <c r="A37" s="6" t="s">
        <v>196</v>
      </c>
      <c r="B37" s="4">
        <v>1.0</v>
      </c>
      <c r="C37" s="1" t="s">
        <v>193</v>
      </c>
      <c r="D37" s="1" t="s">
        <v>194</v>
      </c>
      <c r="E37" s="1" t="s">
        <v>161</v>
      </c>
      <c r="F37" s="6" t="s">
        <v>195</v>
      </c>
    </row>
    <row r="38" ht="15.0" customHeight="1">
      <c r="A38" s="1" t="s">
        <v>196</v>
      </c>
      <c r="B38" s="4">
        <v>0.0</v>
      </c>
      <c r="C38" s="7"/>
      <c r="D38" s="7"/>
      <c r="E38" s="7"/>
      <c r="F38" s="7"/>
    </row>
    <row r="39" ht="15.0" customHeight="1">
      <c r="A39" s="1" t="s">
        <v>397</v>
      </c>
      <c r="B39" s="4">
        <v>0.0</v>
      </c>
      <c r="C39" s="7"/>
      <c r="D39" s="7"/>
      <c r="E39" s="7"/>
      <c r="F39" s="7"/>
    </row>
    <row r="40" ht="15.0" customHeight="1">
      <c r="A40" s="1" t="s">
        <v>398</v>
      </c>
      <c r="B40" s="4">
        <v>0.0</v>
      </c>
      <c r="C40" s="7"/>
      <c r="D40" s="7"/>
      <c r="E40" s="7"/>
      <c r="F40" s="7"/>
    </row>
    <row r="41" ht="15.0" customHeight="1">
      <c r="A41" s="1" t="s">
        <v>399</v>
      </c>
      <c r="B41" s="4">
        <v>0.0</v>
      </c>
      <c r="C41" s="7"/>
      <c r="D41" s="7"/>
      <c r="E41" s="7"/>
      <c r="F41" s="7"/>
    </row>
    <row r="42" ht="15.0" customHeight="1">
      <c r="A42" s="1" t="s">
        <v>400</v>
      </c>
      <c r="B42" s="4">
        <v>1.0</v>
      </c>
      <c r="C42" s="7"/>
      <c r="D42" s="7"/>
      <c r="E42" s="7"/>
      <c r="F42" s="6" t="s">
        <v>401</v>
      </c>
    </row>
    <row r="43" ht="15.0" customHeight="1">
      <c r="A43" s="1" t="s">
        <v>207</v>
      </c>
      <c r="B43" s="4">
        <v>1.0</v>
      </c>
      <c r="C43" s="1" t="s">
        <v>208</v>
      </c>
      <c r="D43" s="1" t="s">
        <v>209</v>
      </c>
      <c r="E43" s="7"/>
      <c r="F43" s="6" t="s">
        <v>210</v>
      </c>
    </row>
    <row r="44" ht="15.0" customHeight="1">
      <c r="A44" s="1" t="s">
        <v>211</v>
      </c>
      <c r="B44" s="4">
        <v>1.0</v>
      </c>
      <c r="C44" s="1" t="s">
        <v>208</v>
      </c>
      <c r="D44" s="1" t="s">
        <v>209</v>
      </c>
      <c r="E44" s="7"/>
      <c r="F44" s="6" t="s">
        <v>210</v>
      </c>
    </row>
    <row r="45" ht="15.0" customHeight="1">
      <c r="A45" s="1" t="s">
        <v>217</v>
      </c>
      <c r="B45" s="4">
        <v>1.0</v>
      </c>
      <c r="C45" s="1" t="s">
        <v>218</v>
      </c>
      <c r="D45" s="1" t="s">
        <v>219</v>
      </c>
      <c r="E45" s="7"/>
      <c r="F45" s="6" t="s">
        <v>220</v>
      </c>
    </row>
    <row r="46" ht="15.0" customHeight="1">
      <c r="A46" s="1" t="s">
        <v>221</v>
      </c>
      <c r="B46" s="4">
        <v>1.0</v>
      </c>
      <c r="C46" s="1" t="s">
        <v>218</v>
      </c>
      <c r="D46" s="1" t="s">
        <v>219</v>
      </c>
      <c r="E46" s="7"/>
      <c r="F46" s="6" t="s">
        <v>220</v>
      </c>
    </row>
    <row r="47" ht="15.0" customHeight="1">
      <c r="A47" s="1" t="s">
        <v>222</v>
      </c>
      <c r="B47" s="4">
        <v>1.0</v>
      </c>
      <c r="C47" s="1" t="s">
        <v>218</v>
      </c>
      <c r="D47" s="1" t="s">
        <v>219</v>
      </c>
      <c r="E47" s="7"/>
      <c r="F47" s="6" t="s">
        <v>220</v>
      </c>
    </row>
    <row r="48" ht="15.0" customHeight="1">
      <c r="A48" s="1" t="s">
        <v>223</v>
      </c>
      <c r="B48" s="4">
        <v>1.0</v>
      </c>
      <c r="C48" s="1" t="s">
        <v>218</v>
      </c>
      <c r="D48" s="1" t="s">
        <v>219</v>
      </c>
      <c r="E48" s="7"/>
      <c r="F48" s="6" t="s">
        <v>220</v>
      </c>
    </row>
    <row r="49" ht="15.0" customHeight="1">
      <c r="A49" s="1" t="s">
        <v>402</v>
      </c>
      <c r="B49" s="4">
        <v>0.0</v>
      </c>
      <c r="C49" s="7"/>
      <c r="D49" s="7"/>
      <c r="E49" s="7"/>
      <c r="F49" s="7"/>
    </row>
    <row r="50" ht="15.0" customHeight="1">
      <c r="A50" s="1" t="s">
        <v>403</v>
      </c>
      <c r="B50" s="4">
        <v>0.0</v>
      </c>
      <c r="C50" s="7"/>
      <c r="D50" s="7"/>
      <c r="E50" s="7"/>
      <c r="F50" s="7"/>
    </row>
    <row r="51" ht="11.25" customHeight="1">
      <c r="A51" s="1" t="s">
        <v>404</v>
      </c>
      <c r="B51" s="4">
        <v>0.0</v>
      </c>
      <c r="C51" s="5"/>
      <c r="D51" s="5"/>
      <c r="E51" s="5"/>
      <c r="F51" s="5"/>
    </row>
    <row r="52" ht="11.25" customHeight="1">
      <c r="A52" s="1" t="s">
        <v>405</v>
      </c>
      <c r="B52" s="4">
        <v>0.0</v>
      </c>
      <c r="C52" s="5"/>
      <c r="D52" s="5"/>
      <c r="E52" s="5"/>
      <c r="F52" s="5"/>
    </row>
    <row r="53" ht="11.25" customHeight="1">
      <c r="A53" s="1" t="s">
        <v>406</v>
      </c>
      <c r="B53" s="4">
        <v>0.0</v>
      </c>
      <c r="C53" s="5"/>
      <c r="D53" s="5"/>
      <c r="E53" s="5"/>
      <c r="F53" s="5"/>
    </row>
    <row r="54" ht="11.25" customHeight="1">
      <c r="A54" s="1" t="s">
        <v>407</v>
      </c>
      <c r="B54" s="4">
        <v>0.0</v>
      </c>
      <c r="C54" s="5"/>
      <c r="D54" s="5"/>
      <c r="E54" s="5"/>
      <c r="F54" s="5"/>
    </row>
    <row r="55" ht="11.25" customHeight="1">
      <c r="A55" s="1" t="s">
        <v>408</v>
      </c>
      <c r="B55" s="4">
        <v>0.0</v>
      </c>
      <c r="C55" s="5"/>
      <c r="D55" s="5"/>
      <c r="E55" s="5"/>
      <c r="F55" s="5"/>
    </row>
    <row r="56" ht="11.25" customHeight="1">
      <c r="A56" s="1" t="s">
        <v>409</v>
      </c>
      <c r="B56" s="4">
        <v>0.0</v>
      </c>
      <c r="C56" s="5"/>
      <c r="D56" s="5"/>
      <c r="E56" s="5"/>
      <c r="F56" s="5"/>
    </row>
    <row r="57" ht="11.25" customHeight="1">
      <c r="A57" s="1" t="s">
        <v>60</v>
      </c>
      <c r="B57" s="4">
        <v>1.0</v>
      </c>
      <c r="C57" s="1" t="s">
        <v>61</v>
      </c>
      <c r="D57" s="1" t="s">
        <v>62</v>
      </c>
      <c r="E57" s="1" t="s">
        <v>13</v>
      </c>
      <c r="F57" s="1" t="s">
        <v>63</v>
      </c>
    </row>
    <row r="58" ht="39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+ST1-XDS48" location="'Table 614'!A1" ref="A5"/>
    <hyperlink display="WAGO.2006-1681" location="'Table 614'!A1" ref="F5"/>
    <hyperlink display="WAGO.2004-1201" location="'Table 614'!A1" ref="F6"/>
    <hyperlink display="+ST1-107XTR24" location="'Table 614'!A8" ref="A12"/>
    <hyperlink display="WAGO.2006-1671/1000-848" location="'Table 614'!A8" ref="F12"/>
    <hyperlink display="+ST1-107XTR24" location="'Table 614'!A8" ref="A13"/>
    <hyperlink display="WAGO.2006-1692" location="'Table 614'!A8" ref="F13"/>
    <hyperlink display="+ST1-107XTR24" location="null!A1" ref="A14"/>
    <hyperlink display="WAGO.249-117" location="'Table 614'!A8" ref="F14"/>
    <hyperlink display="+ST1-110XTR48" location="'Table 614'!A11" ref="A15"/>
    <hyperlink display="WAGO.2006-1671/1000-849" location="'Table 614'!A11" ref="F15"/>
    <hyperlink display="+ST1-110XTR48" location="'Table 614'!A11" ref="A16"/>
    <hyperlink display="WAGO.2006-1692" location="'Table 614'!A11" ref="F16"/>
    <hyperlink display="+ST1-110XTR48" location="null!A1" ref="A17"/>
    <hyperlink display="WAGO.249-117" location="'Table 614'!A11" ref="F17"/>
    <hyperlink display="BuR.80MPF5.500D114-01" location="'Table 614'!A25" ref="F31"/>
    <hyperlink display="+ANL-302MA2" location="'Table 614'!A28" ref="A33"/>
    <hyperlink display="BuR.80MPD3.300S000-01" location="'Table 614'!A28" ref="F33"/>
    <hyperlink display="BuR.80MPF5.500D114-01" location="'Table 614'!A29" ref="F35"/>
    <hyperlink display="+ANL-304MA2" location="'Table 614'!A32" ref="A37"/>
    <hyperlink display="BuR.80MPD3.300S000-01" location="'Table 614'!A32" ref="F37"/>
    <hyperlink display="K+C Glasmaßstab Typ-S5" location="'Table 614'!A36" ref="F42"/>
    <hyperlink display="BAL.BES01H6" location="'Table 614'!A37" ref="F43"/>
    <hyperlink display="BAL.BES01H6" location="'Table 614'!A38" ref="F44"/>
    <hyperlink display="SMC.D-M9NL" location="'Table 614'!A39" ref="F45"/>
    <hyperlink display="SMC.D-M9NL" location="'Table 614'!A40" ref="F46"/>
    <hyperlink display="SMC.D-M9NL" location="'Table 614'!A41" ref="F47"/>
    <hyperlink display="SMC.D-M9NL" location="'Table 614'!A42" ref="F48"/>
  </hyperlinks>
  <printOptions/>
  <pageMargins bottom="0.7875" footer="0.0" header="0.0" left="0.7875" right="0.7875" top="0.78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71"/>
    <col customWidth="1" min="2" max="2" width="16.29"/>
    <col customWidth="1" min="3" max="3" width="70.43"/>
    <col customWidth="1" min="4" max="4" width="49.14"/>
    <col customWidth="1" min="5" max="5" width="35.14"/>
    <col customWidth="1" min="6" max="6" width="56.86"/>
    <col customWidth="1" min="7" max="26" width="9.86"/>
  </cols>
  <sheetData>
    <row r="1" ht="45.0" customHeight="1">
      <c r="A1" s="2" t="s">
        <v>1911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1.25" customHeight="1">
      <c r="A2" s="1" t="s">
        <v>60</v>
      </c>
      <c r="B2" s="4">
        <v>1.0</v>
      </c>
      <c r="C2" s="1" t="s">
        <v>100</v>
      </c>
      <c r="D2" s="1" t="s">
        <v>101</v>
      </c>
      <c r="E2" s="1" t="s">
        <v>13</v>
      </c>
      <c r="F2" s="1" t="s">
        <v>102</v>
      </c>
    </row>
    <row r="3" ht="11.25" customHeight="1">
      <c r="A3" s="1" t="s">
        <v>60</v>
      </c>
      <c r="B3" s="4">
        <v>1.0</v>
      </c>
      <c r="C3" s="1" t="s">
        <v>104</v>
      </c>
      <c r="D3" s="1" t="s">
        <v>105</v>
      </c>
      <c r="E3" s="1" t="s">
        <v>13</v>
      </c>
      <c r="F3" s="1" t="s">
        <v>106</v>
      </c>
    </row>
    <row r="4" ht="11.25" customHeight="1">
      <c r="A4" s="1" t="s">
        <v>60</v>
      </c>
      <c r="B4" s="4">
        <v>4.0</v>
      </c>
      <c r="C4" s="1" t="s">
        <v>68</v>
      </c>
      <c r="D4" s="1" t="s">
        <v>73</v>
      </c>
      <c r="E4" s="5"/>
      <c r="F4" s="1" t="s">
        <v>74</v>
      </c>
    </row>
    <row r="5" ht="11.25" customHeight="1">
      <c r="A5" s="1" t="s">
        <v>54</v>
      </c>
      <c r="B5" s="4">
        <v>1.0</v>
      </c>
      <c r="C5" s="1" t="s">
        <v>23</v>
      </c>
      <c r="D5" s="1" t="s">
        <v>52</v>
      </c>
      <c r="E5" s="1" t="s">
        <v>13</v>
      </c>
      <c r="F5" s="1" t="s">
        <v>53</v>
      </c>
    </row>
    <row r="6" ht="11.25" customHeight="1">
      <c r="A6" s="1" t="s">
        <v>54</v>
      </c>
      <c r="B6" s="4">
        <v>1.0</v>
      </c>
      <c r="C6" s="1" t="s">
        <v>100</v>
      </c>
      <c r="D6" s="1" t="s">
        <v>101</v>
      </c>
      <c r="E6" s="1" t="s">
        <v>13</v>
      </c>
      <c r="F6" s="1" t="s">
        <v>102</v>
      </c>
    </row>
    <row r="7" ht="11.25" customHeight="1">
      <c r="A7" s="1" t="s">
        <v>54</v>
      </c>
      <c r="B7" s="4">
        <v>1.0</v>
      </c>
      <c r="C7" s="1" t="s">
        <v>104</v>
      </c>
      <c r="D7" s="1" t="s">
        <v>105</v>
      </c>
      <c r="E7" s="1" t="s">
        <v>13</v>
      </c>
      <c r="F7" s="1" t="s">
        <v>106</v>
      </c>
    </row>
    <row r="8" ht="11.25" customHeight="1">
      <c r="A8" s="1" t="s">
        <v>410</v>
      </c>
      <c r="B8" s="4">
        <v>0.0</v>
      </c>
      <c r="C8" s="5"/>
      <c r="D8" s="5"/>
      <c r="E8" s="5"/>
      <c r="F8" s="5"/>
    </row>
    <row r="9" ht="11.25" customHeight="1">
      <c r="A9" s="1" t="s">
        <v>411</v>
      </c>
      <c r="B9" s="4">
        <v>0.0</v>
      </c>
      <c r="C9" s="5"/>
      <c r="D9" s="5"/>
      <c r="E9" s="5"/>
      <c r="F9" s="5"/>
    </row>
    <row r="10" ht="11.25" customHeight="1">
      <c r="A10" s="1" t="s">
        <v>412</v>
      </c>
      <c r="B10" s="4">
        <v>0.0</v>
      </c>
      <c r="C10" s="5"/>
      <c r="D10" s="5"/>
      <c r="E10" s="5"/>
      <c r="F10" s="5"/>
    </row>
    <row r="11" ht="11.25" customHeight="1">
      <c r="A11" s="1" t="s">
        <v>413</v>
      </c>
      <c r="B11" s="4">
        <v>0.0</v>
      </c>
      <c r="C11" s="5"/>
      <c r="D11" s="5"/>
      <c r="E11" s="5"/>
      <c r="F11" s="5"/>
    </row>
    <row r="12" ht="15.0" customHeight="1">
      <c r="A12" s="1" t="s">
        <v>64</v>
      </c>
      <c r="B12" s="4">
        <v>1.0</v>
      </c>
      <c r="C12" s="1" t="s">
        <v>61</v>
      </c>
      <c r="D12" s="1" t="s">
        <v>62</v>
      </c>
      <c r="E12" s="1" t="s">
        <v>13</v>
      </c>
      <c r="F12" s="1" t="s">
        <v>63</v>
      </c>
    </row>
    <row r="13" ht="11.25" customHeight="1">
      <c r="A13" s="1" t="s">
        <v>64</v>
      </c>
      <c r="B13" s="4">
        <v>1.0</v>
      </c>
      <c r="C13" s="1" t="s">
        <v>100</v>
      </c>
      <c r="D13" s="1" t="s">
        <v>101</v>
      </c>
      <c r="E13" s="1" t="s">
        <v>13</v>
      </c>
      <c r="F13" s="1" t="s">
        <v>102</v>
      </c>
    </row>
    <row r="14" ht="11.25" customHeight="1">
      <c r="A14" s="1" t="s">
        <v>64</v>
      </c>
      <c r="B14" s="4">
        <v>1.0</v>
      </c>
      <c r="C14" s="1" t="s">
        <v>104</v>
      </c>
      <c r="D14" s="1" t="s">
        <v>105</v>
      </c>
      <c r="E14" s="1" t="s">
        <v>13</v>
      </c>
      <c r="F14" s="1" t="s">
        <v>106</v>
      </c>
    </row>
    <row r="15" ht="11.25" customHeight="1">
      <c r="A15" s="1" t="s">
        <v>64</v>
      </c>
      <c r="B15" s="4">
        <v>4.0</v>
      </c>
      <c r="C15" s="1" t="s">
        <v>68</v>
      </c>
      <c r="D15" s="1" t="s">
        <v>75</v>
      </c>
      <c r="E15" s="5"/>
      <c r="F15" s="1" t="s">
        <v>76</v>
      </c>
    </row>
    <row r="16" ht="15.0" customHeight="1">
      <c r="A16" s="1" t="s">
        <v>414</v>
      </c>
      <c r="B16" s="4">
        <v>0.0</v>
      </c>
      <c r="C16" s="7"/>
      <c r="D16" s="7"/>
      <c r="E16" s="7"/>
      <c r="F16" s="7"/>
    </row>
    <row r="17" ht="11.25" customHeight="1">
      <c r="A17" s="1" t="s">
        <v>415</v>
      </c>
      <c r="B17" s="4">
        <v>0.0</v>
      </c>
      <c r="C17" s="5"/>
      <c r="D17" s="5"/>
      <c r="E17" s="5"/>
      <c r="F17" s="5"/>
    </row>
    <row r="18" ht="15.0" customHeight="1">
      <c r="A18" s="1" t="s">
        <v>416</v>
      </c>
      <c r="B18" s="4">
        <v>0.0</v>
      </c>
      <c r="C18" s="7"/>
      <c r="D18" s="7"/>
      <c r="E18" s="7"/>
      <c r="F18" s="7"/>
    </row>
    <row r="19" ht="11.25" customHeight="1">
      <c r="A19" s="1" t="s">
        <v>417</v>
      </c>
      <c r="B19" s="4">
        <v>0.0</v>
      </c>
      <c r="C19" s="5"/>
      <c r="D19" s="5"/>
      <c r="E19" s="5"/>
      <c r="F19" s="5"/>
    </row>
    <row r="20" ht="11.25" customHeight="1">
      <c r="A20" s="1" t="s">
        <v>418</v>
      </c>
      <c r="B20" s="4">
        <v>0.0</v>
      </c>
      <c r="C20" s="5"/>
      <c r="D20" s="5"/>
      <c r="E20" s="5"/>
      <c r="F20" s="5"/>
    </row>
    <row r="21" ht="11.25" customHeight="1">
      <c r="A21" s="1" t="s">
        <v>419</v>
      </c>
      <c r="B21" s="4">
        <v>0.0</v>
      </c>
      <c r="C21" s="5"/>
      <c r="D21" s="5"/>
      <c r="E21" s="5"/>
      <c r="F21" s="5"/>
    </row>
    <row r="22" ht="11.25" customHeight="1">
      <c r="A22" s="1" t="s">
        <v>420</v>
      </c>
      <c r="B22" s="4">
        <v>0.0</v>
      </c>
      <c r="C22" s="5"/>
      <c r="D22" s="5"/>
      <c r="E22" s="5"/>
      <c r="F22" s="5"/>
    </row>
    <row r="23" ht="11.25" customHeight="1">
      <c r="A23" s="1" t="s">
        <v>421</v>
      </c>
      <c r="B23" s="4">
        <v>0.0</v>
      </c>
      <c r="C23" s="5"/>
      <c r="D23" s="5"/>
      <c r="E23" s="5"/>
      <c r="F23" s="5"/>
    </row>
    <row r="24" ht="11.25" customHeight="1">
      <c r="A24" s="1" t="s">
        <v>422</v>
      </c>
      <c r="B24" s="4">
        <v>0.0</v>
      </c>
      <c r="C24" s="5"/>
      <c r="D24" s="5"/>
      <c r="E24" s="5"/>
      <c r="F24" s="5"/>
    </row>
    <row r="25" ht="11.25" customHeight="1">
      <c r="A25" s="1" t="s">
        <v>423</v>
      </c>
      <c r="B25" s="4">
        <v>0.0</v>
      </c>
      <c r="C25" s="5"/>
      <c r="D25" s="5"/>
      <c r="E25" s="5"/>
      <c r="F25" s="5"/>
    </row>
    <row r="26" ht="11.25" customHeight="1">
      <c r="A26" s="5"/>
      <c r="B26" s="5"/>
      <c r="C26" s="5"/>
      <c r="D26" s="5"/>
      <c r="E26" s="5"/>
      <c r="F26" s="5"/>
    </row>
    <row r="27" ht="11.25" customHeight="1">
      <c r="A27" s="5"/>
      <c r="B27" s="5"/>
      <c r="C27" s="5"/>
      <c r="D27" s="5"/>
      <c r="E27" s="5"/>
      <c r="F27" s="5"/>
    </row>
    <row r="28" ht="11.25" customHeight="1">
      <c r="A28" s="5"/>
      <c r="B28" s="5"/>
      <c r="C28" s="5"/>
      <c r="D28" s="5"/>
      <c r="E28" s="5"/>
      <c r="F28" s="5"/>
    </row>
    <row r="29" ht="11.25" customHeight="1">
      <c r="A29" s="5"/>
      <c r="B29" s="5"/>
      <c r="C29" s="5"/>
      <c r="D29" s="5"/>
      <c r="E29" s="5"/>
      <c r="F29" s="5"/>
    </row>
    <row r="30" ht="11.25" customHeight="1">
      <c r="A30" s="5"/>
      <c r="B30" s="5"/>
      <c r="C30" s="5"/>
      <c r="D30" s="5"/>
      <c r="E30" s="5"/>
      <c r="F30" s="5"/>
    </row>
    <row r="31" ht="11.25" customHeight="1">
      <c r="A31" s="5"/>
      <c r="B31" s="5"/>
      <c r="C31" s="5"/>
      <c r="D31" s="5"/>
      <c r="E31" s="5"/>
      <c r="F31" s="5"/>
    </row>
    <row r="32" ht="11.25" customHeight="1">
      <c r="A32" s="5"/>
      <c r="B32" s="5"/>
      <c r="C32" s="5"/>
      <c r="D32" s="5"/>
      <c r="E32" s="5"/>
      <c r="F32" s="5"/>
    </row>
    <row r="33" ht="11.25" customHeight="1">
      <c r="A33" s="5"/>
      <c r="B33" s="5"/>
      <c r="C33" s="5"/>
      <c r="D33" s="5"/>
      <c r="E33" s="5"/>
      <c r="F33" s="5"/>
    </row>
    <row r="34" ht="11.25" customHeight="1">
      <c r="A34" s="5"/>
      <c r="B34" s="5"/>
      <c r="C34" s="5"/>
      <c r="D34" s="5"/>
      <c r="E34" s="5"/>
      <c r="F34" s="5"/>
    </row>
    <row r="35" ht="11.25" customHeight="1">
      <c r="A35" s="5"/>
      <c r="B35" s="5"/>
      <c r="C35" s="5"/>
      <c r="D35" s="5"/>
      <c r="E35" s="5"/>
      <c r="F35" s="5"/>
    </row>
    <row r="36" ht="11.25" customHeight="1">
      <c r="A36" s="5"/>
      <c r="B36" s="5"/>
      <c r="C36" s="5"/>
      <c r="D36" s="5"/>
      <c r="E36" s="5"/>
      <c r="F36" s="5"/>
    </row>
    <row r="37" ht="11.25" customHeight="1">
      <c r="A37" s="5"/>
      <c r="B37" s="5"/>
      <c r="C37" s="5"/>
      <c r="D37" s="5"/>
      <c r="E37" s="5"/>
      <c r="F37" s="5"/>
    </row>
    <row r="38" ht="11.25" customHeight="1">
      <c r="A38" s="5"/>
      <c r="B38" s="5"/>
      <c r="C38" s="5"/>
      <c r="D38" s="5"/>
      <c r="E38" s="5"/>
      <c r="F38" s="5"/>
    </row>
    <row r="39" ht="11.25" customHeight="1">
      <c r="A39" s="5"/>
      <c r="B39" s="5"/>
      <c r="C39" s="5"/>
      <c r="D39" s="5"/>
      <c r="E39" s="5"/>
      <c r="F39" s="5"/>
    </row>
    <row r="40" ht="11.25" customHeight="1">
      <c r="A40" s="5"/>
      <c r="B40" s="5"/>
      <c r="C40" s="5"/>
      <c r="D40" s="5"/>
      <c r="E40" s="5"/>
      <c r="F40" s="5"/>
    </row>
    <row r="41" ht="11.25" customHeight="1">
      <c r="A41" s="5"/>
      <c r="B41" s="5"/>
      <c r="C41" s="5"/>
      <c r="D41" s="5"/>
      <c r="E41" s="5"/>
      <c r="F41" s="5"/>
    </row>
    <row r="42" ht="11.25" customHeight="1">
      <c r="A42" s="5"/>
      <c r="B42" s="5"/>
      <c r="C42" s="5"/>
      <c r="D42" s="5"/>
      <c r="E42" s="5"/>
      <c r="F42" s="5"/>
    </row>
    <row r="43" ht="11.25" customHeight="1">
      <c r="A43" s="5"/>
      <c r="B43" s="5"/>
      <c r="C43" s="5"/>
      <c r="D43" s="5"/>
      <c r="E43" s="5"/>
      <c r="F43" s="5"/>
    </row>
    <row r="44" ht="11.25" customHeight="1">
      <c r="A44" s="5"/>
      <c r="B44" s="5"/>
      <c r="C44" s="5"/>
      <c r="D44" s="5"/>
      <c r="E44" s="5"/>
      <c r="F44" s="5"/>
    </row>
    <row r="45" ht="11.25" customHeight="1">
      <c r="A45" s="5"/>
      <c r="B45" s="5"/>
      <c r="C45" s="5"/>
      <c r="D45" s="5"/>
      <c r="E45" s="5"/>
      <c r="F45" s="5"/>
    </row>
    <row r="46" ht="11.25" customHeight="1">
      <c r="A46" s="5"/>
      <c r="B46" s="5"/>
      <c r="C46" s="5"/>
      <c r="D46" s="5"/>
      <c r="E46" s="5"/>
      <c r="F46" s="5"/>
    </row>
    <row r="47" ht="11.25" customHeight="1">
      <c r="A47" s="5"/>
      <c r="B47" s="5"/>
      <c r="C47" s="5"/>
      <c r="D47" s="5"/>
      <c r="E47" s="5"/>
      <c r="F47" s="5"/>
    </row>
    <row r="48" ht="11.25" customHeight="1">
      <c r="A48" s="5"/>
      <c r="B48" s="5"/>
      <c r="C48" s="5"/>
      <c r="D48" s="5"/>
      <c r="E48" s="5"/>
      <c r="F48" s="5"/>
    </row>
    <row r="49" ht="11.25" customHeight="1">
      <c r="A49" s="5"/>
      <c r="B49" s="5"/>
      <c r="C49" s="5"/>
      <c r="D49" s="5"/>
      <c r="E49" s="5"/>
      <c r="F49" s="5"/>
    </row>
    <row r="50" ht="11.25" customHeight="1">
      <c r="A50" s="5"/>
      <c r="B50" s="5"/>
      <c r="C50" s="5"/>
      <c r="D50" s="5"/>
      <c r="E50" s="5"/>
      <c r="F50" s="5"/>
    </row>
    <row r="51" ht="11.25" customHeight="1">
      <c r="A51" s="5"/>
      <c r="B51" s="5"/>
      <c r="C51" s="5"/>
      <c r="D51" s="5"/>
      <c r="E51" s="5"/>
      <c r="F51" s="5"/>
    </row>
    <row r="52" ht="11.25" customHeight="1">
      <c r="A52" s="5"/>
      <c r="B52" s="5"/>
      <c r="C52" s="5"/>
      <c r="D52" s="5"/>
      <c r="E52" s="5"/>
      <c r="F52" s="5"/>
    </row>
    <row r="53" ht="11.25" customHeight="1">
      <c r="A53" s="5"/>
      <c r="B53" s="5"/>
      <c r="C53" s="5"/>
      <c r="D53" s="5"/>
      <c r="E53" s="5"/>
      <c r="F53" s="5"/>
    </row>
    <row r="54" ht="11.25" customHeight="1">
      <c r="A54" s="5"/>
      <c r="B54" s="5"/>
      <c r="C54" s="5"/>
      <c r="D54" s="5"/>
      <c r="E54" s="5"/>
      <c r="F54" s="5"/>
    </row>
    <row r="55" ht="11.25" customHeight="1">
      <c r="A55" s="5"/>
      <c r="B55" s="5"/>
      <c r="C55" s="5"/>
      <c r="D55" s="5"/>
      <c r="E55" s="5"/>
      <c r="F55" s="5"/>
    </row>
    <row r="56" ht="11.25" customHeight="1">
      <c r="A56" s="5"/>
      <c r="B56" s="5"/>
      <c r="C56" s="5"/>
      <c r="D56" s="5"/>
      <c r="E56" s="5"/>
      <c r="F56" s="5"/>
    </row>
    <row r="57" ht="11.25" customHeight="1">
      <c r="A57" s="5"/>
      <c r="B57" s="5"/>
      <c r="C57" s="5"/>
      <c r="D57" s="5"/>
      <c r="E57" s="5"/>
      <c r="F57" s="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5" footer="0.0" header="0.0" left="0.7875" right="0.7875" top="0.7875"/>
  <pageSetup paperSize="9" orientation="portrait"/>
  <drawing r:id="rId1"/>
</worksheet>
</file>